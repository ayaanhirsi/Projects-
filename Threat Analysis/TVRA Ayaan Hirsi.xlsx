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anie\Downloads\"/>
    </mc:Choice>
  </mc:AlternateContent>
  <xr:revisionPtr revIDLastSave="0" documentId="8_{2DF9702A-9EDD-41DF-8C5E-E1F0B37E0D25}" xr6:coauthVersionLast="47" xr6:coauthVersionMax="47" xr10:uidLastSave="{00000000-0000-0000-0000-000000000000}"/>
  <bookViews>
    <workbookView xWindow="-120" yWindow="-120" windowWidth="24240" windowHeight="13020" tabRatio="667" xr2:uid="{E2DC81C6-7761-494B-9709-450B22167C8D}"/>
  </bookViews>
  <sheets>
    <sheet name="TVRA" sheetId="16" r:id="rId1"/>
    <sheet name="Vulnerabilities Catalog" sheetId="15" r:id="rId2"/>
    <sheet name="Threat Source Catalog" sheetId="19" r:id="rId3"/>
    <sheet name="Security Controls Catalog" sheetId="17" r:id="rId4"/>
    <sheet name="Threat Events Catalog" sheetId="6" r:id="rId5"/>
    <sheet name="D78" sheetId="18" r:id="rId6"/>
    <sheet name="D3456" sheetId="13" r:id="rId7"/>
    <sheet name="Control Effectiveness Assessmen" sheetId="20" r:id="rId8"/>
    <sheet name="F256" sheetId="7" r:id="rId9"/>
    <sheet name="G234" sheetId="11" r:id="rId10"/>
    <sheet name="H34" sheetId="1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6" l="1"/>
  <c r="Q5" i="16" s="1"/>
  <c r="O6" i="16"/>
  <c r="Q6" i="16" s="1"/>
  <c r="M5" i="16" a="1"/>
  <c r="M5" i="16" s="1"/>
  <c r="M6" i="16" a="1"/>
  <c r="M6" i="16" s="1"/>
  <c r="M7" i="16" a="1"/>
  <c r="M7" i="16" s="1"/>
  <c r="O7" i="16" s="1"/>
  <c r="Q7" i="16" s="1"/>
  <c r="AP5" i="16" a="1"/>
  <c r="AP5" i="16" s="1"/>
  <c r="AR5" i="16" s="1"/>
  <c r="AT5" i="16" s="1"/>
  <c r="M8" i="16" a="1"/>
  <c r="M8" i="16" s="1"/>
  <c r="O8" i="16" s="1"/>
  <c r="Q8" i="16" s="1"/>
  <c r="M9" i="16" a="1"/>
  <c r="M9" i="16" s="1"/>
  <c r="O9" i="16" s="1"/>
  <c r="Q9" i="16" s="1"/>
  <c r="M10" i="16" a="1"/>
  <c r="M10" i="16" s="1"/>
  <c r="O10" i="16" s="1"/>
  <c r="Q10" i="16" s="1"/>
  <c r="M11" i="16" a="1"/>
  <c r="M11" i="16" s="1"/>
  <c r="O11" i="16" s="1"/>
  <c r="Q11" i="16" s="1"/>
  <c r="M12" i="16" a="1"/>
  <c r="M12" i="16" s="1"/>
  <c r="O12" i="16" s="1"/>
  <c r="Q12" i="16" s="1"/>
  <c r="M13" i="16" a="1"/>
  <c r="M13" i="16" s="1"/>
  <c r="O13" i="16" s="1"/>
  <c r="Q13"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6B699A-87D1-49D6-A2AD-C3DA1EDDFC11}"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<sst xmlns="http://schemas.openxmlformats.org/spreadsheetml/2006/main" count="1907" uniqueCount="1059">
  <si>
    <t>ADVERSARIAL RISK</t>
  </si>
  <si>
    <t>Threat Events</t>
  </si>
  <si>
    <t>Threat Source</t>
  </si>
  <si>
    <t>Vulnerability ID</t>
  </si>
  <si>
    <t>Security Controls</t>
  </si>
  <si>
    <t>Capabilites</t>
  </si>
  <si>
    <t>Intent</t>
  </si>
  <si>
    <t>Targeting</t>
  </si>
  <si>
    <t>Relevancy</t>
  </si>
  <si>
    <t>Likelihood of Events Occuring</t>
  </si>
  <si>
    <t>Vulnerabilites and Predisposing Conditions</t>
  </si>
  <si>
    <t>Severity</t>
  </si>
  <si>
    <t>Likelihood of Success</t>
  </si>
  <si>
    <t>Overall Likelihood</t>
  </si>
  <si>
    <t>Level of Impact</t>
  </si>
  <si>
    <t>Risk</t>
  </si>
  <si>
    <t>Vulnerabilitiy ID</t>
  </si>
  <si>
    <t>Range of Effects</t>
  </si>
  <si>
    <t>Likelihood of Impact</t>
  </si>
  <si>
    <t>Overall Likelihoood</t>
  </si>
  <si>
    <t xml:space="preserve">Conduct externally-based session hijacking. </t>
  </si>
  <si>
    <t>Outsider</t>
  </si>
  <si>
    <t>Low</t>
  </si>
  <si>
    <t>Expected</t>
  </si>
  <si>
    <t>High</t>
  </si>
  <si>
    <t>Very High</t>
  </si>
  <si>
    <t>Moderate</t>
  </si>
  <si>
    <t xml:space="preserve">Incorrect privilege settings </t>
  </si>
  <si>
    <t>Storage</t>
  </si>
  <si>
    <t>Anticipated</t>
  </si>
  <si>
    <t xml:space="preserve">Conduct externally-based network traffic modification (man in the middle) attacks. </t>
  </si>
  <si>
    <t>Organization</t>
  </si>
  <si>
    <t>Confirmed</t>
  </si>
  <si>
    <t xml:space="preserve">Exploit vulnerabilities using zero-day attacks. </t>
  </si>
  <si>
    <t>Nation-State</t>
  </si>
  <si>
    <t xml:space="preserve">Conduct outsider-based social engineering to obtain information. </t>
  </si>
  <si>
    <t>Partner</t>
  </si>
  <si>
    <t>RISK MATRIX</t>
  </si>
  <si>
    <t>Very Low</t>
  </si>
  <si>
    <t>ID</t>
  </si>
  <si>
    <t>Name</t>
  </si>
  <si>
    <t>CVE</t>
  </si>
  <si>
    <t>Description</t>
  </si>
  <si>
    <t>Category</t>
  </si>
  <si>
    <t>Discovery</t>
  </si>
  <si>
    <t>Adversarial</t>
  </si>
  <si>
    <t>Control ID</t>
  </si>
  <si>
    <t>Control Name</t>
  </si>
  <si>
    <t>AC-16</t>
  </si>
  <si>
    <t>Security Attributes</t>
  </si>
  <si>
    <t>AC-19</t>
  </si>
  <si>
    <t>Access controls for Mobile Devices</t>
  </si>
  <si>
    <t>AC-2</t>
  </si>
  <si>
    <t>Account Management</t>
  </si>
  <si>
    <t>AU-12</t>
  </si>
  <si>
    <t>Audit Record Generation</t>
  </si>
  <si>
    <t>CM-2</t>
  </si>
  <si>
    <t>Baseline Configuration</t>
  </si>
  <si>
    <t>CP-9</t>
  </si>
  <si>
    <t>Information System Backup</t>
  </si>
  <si>
    <t>IA-2</t>
  </si>
  <si>
    <t>Identification &amp; Authentication</t>
  </si>
  <si>
    <t>IR-4</t>
  </si>
  <si>
    <t>Incident Handling</t>
  </si>
  <si>
    <t>IR-5</t>
  </si>
  <si>
    <t>Incident Monitoring</t>
  </si>
  <si>
    <t>PE-3</t>
  </si>
  <si>
    <t>Physical Access Control</t>
  </si>
  <si>
    <t>SC-12</t>
  </si>
  <si>
    <t>Cryptographic Key establishment and Manegement</t>
  </si>
  <si>
    <t>SC-16</t>
  </si>
  <si>
    <t>Security Testing and Evaluation</t>
  </si>
  <si>
    <t>SC-5</t>
  </si>
  <si>
    <t>DEnial of Service protection</t>
  </si>
  <si>
    <t>SC-7</t>
  </si>
  <si>
    <t>Boundary Protection</t>
  </si>
  <si>
    <t>SI-10</t>
  </si>
  <si>
    <t>Information Input Validation</t>
  </si>
  <si>
    <t>SI-3</t>
  </si>
  <si>
    <t>Malicious Code protection</t>
  </si>
  <si>
    <t>SI-4</t>
  </si>
  <si>
    <t>Information System Monitoring</t>
  </si>
  <si>
    <t>AC-1</t>
  </si>
  <si>
    <t>Policy and Procedures</t>
  </si>
  <si>
    <t>AC-3</t>
  </si>
  <si>
    <t>Access Enforcement</t>
  </si>
  <si>
    <t>AC-7</t>
  </si>
  <si>
    <t>Unsuccessful Logon Attempts</t>
  </si>
  <si>
    <t>AC-8</t>
  </si>
  <si>
    <t>System Use notification</t>
  </si>
  <si>
    <t>AC-14</t>
  </si>
  <si>
    <t>Premitted Actions without identification or Authentification</t>
  </si>
  <si>
    <t>AC-17</t>
  </si>
  <si>
    <t>Remote Access</t>
  </si>
  <si>
    <t>AC-18</t>
  </si>
  <si>
    <t>Wireless Access</t>
  </si>
  <si>
    <t>AC-20</t>
  </si>
  <si>
    <t>Use of External Systems</t>
  </si>
  <si>
    <t>AC-22</t>
  </si>
  <si>
    <t>Publicly Accessible Content</t>
  </si>
  <si>
    <t>AT-1</t>
  </si>
  <si>
    <t>Policy Procedures</t>
  </si>
  <si>
    <t>AT-2</t>
  </si>
  <si>
    <t>Literacy Training and Awarness</t>
  </si>
  <si>
    <t>AT-3</t>
  </si>
  <si>
    <t>Role-Based Training</t>
  </si>
  <si>
    <t>AT-4</t>
  </si>
  <si>
    <t>Training Records</t>
  </si>
  <si>
    <t>AU-1</t>
  </si>
  <si>
    <t>AU-2</t>
  </si>
  <si>
    <t>Event Logging</t>
  </si>
  <si>
    <t>AU-3</t>
  </si>
  <si>
    <t>Content Audit Records</t>
  </si>
  <si>
    <t>AU-4</t>
  </si>
  <si>
    <t>Audit Storage capacity</t>
  </si>
  <si>
    <t>AU-5</t>
  </si>
  <si>
    <t>Response to audit logging process failures</t>
  </si>
  <si>
    <t>AU-6</t>
  </si>
  <si>
    <t>Audit record review, analysis, and reporting</t>
  </si>
  <si>
    <t>AU-8</t>
  </si>
  <si>
    <t>Time Stamps</t>
  </si>
  <si>
    <t>AU-9</t>
  </si>
  <si>
    <t>Protection of audit information</t>
  </si>
  <si>
    <t>AU-11</t>
  </si>
  <si>
    <t>Audit Record Retention</t>
  </si>
  <si>
    <t>CA-1</t>
  </si>
  <si>
    <t>CA-2</t>
  </si>
  <si>
    <t>Control Assessments</t>
  </si>
  <si>
    <t>CA-3</t>
  </si>
  <si>
    <t>Information Exchange</t>
  </si>
  <si>
    <t>CA-5</t>
  </si>
  <si>
    <t>Plan of action and milestones</t>
  </si>
  <si>
    <t>CA-6</t>
  </si>
  <si>
    <t>Authorization</t>
  </si>
  <si>
    <t>CA-7</t>
  </si>
  <si>
    <t>Continuous Monitoring</t>
  </si>
  <si>
    <t>CA-9</t>
  </si>
  <si>
    <t>Internal system connections</t>
  </si>
  <si>
    <t>CM-1</t>
  </si>
  <si>
    <t>CM-4</t>
  </si>
  <si>
    <t>Impact Analyses</t>
  </si>
  <si>
    <t>CM-5</t>
  </si>
  <si>
    <t>Access restrictions for change</t>
  </si>
  <si>
    <t>CM-6</t>
  </si>
  <si>
    <t>Configuration settings</t>
  </si>
  <si>
    <t>CM-7</t>
  </si>
  <si>
    <t>Least Functionality</t>
  </si>
  <si>
    <t>CM-8</t>
  </si>
  <si>
    <t>System Component Inventory</t>
  </si>
  <si>
    <t>CM-10</t>
  </si>
  <si>
    <t>Software Usage Restrictions</t>
  </si>
  <si>
    <t>CM-11</t>
  </si>
  <si>
    <t>User-Installed Software</t>
  </si>
  <si>
    <t>CP-1</t>
  </si>
  <si>
    <t>CP-2</t>
  </si>
  <si>
    <t>Contingency Plan</t>
  </si>
  <si>
    <t>CP-3</t>
  </si>
  <si>
    <t>Contingency Training</t>
  </si>
  <si>
    <t>CP-4</t>
  </si>
  <si>
    <t>Contingency Plan Testing</t>
  </si>
  <si>
    <t>System Backup</t>
  </si>
  <si>
    <t>CP-10</t>
  </si>
  <si>
    <t>System Recovery and Reconstitution</t>
  </si>
  <si>
    <t>IA-1</t>
  </si>
  <si>
    <t>IA-4</t>
  </si>
  <si>
    <t>Identifier management</t>
  </si>
  <si>
    <t>IA-5</t>
  </si>
  <si>
    <t>Authenticator Management</t>
  </si>
  <si>
    <t>IA-6</t>
  </si>
  <si>
    <t>Authentication Feedback</t>
  </si>
  <si>
    <t xml:space="preserve">IA-7 </t>
  </si>
  <si>
    <t>Cryptographic Module Authentification</t>
  </si>
  <si>
    <t>IA-8</t>
  </si>
  <si>
    <t>Identification and Authentification</t>
  </si>
  <si>
    <t>IA-10</t>
  </si>
  <si>
    <t>Adaptive AUthentication</t>
  </si>
  <si>
    <t>IR-1</t>
  </si>
  <si>
    <t>Policy and procedures</t>
  </si>
  <si>
    <t>IR-2</t>
  </si>
  <si>
    <t>Incident Response Training</t>
  </si>
  <si>
    <t>IR-6</t>
  </si>
  <si>
    <t>Incident Reporting</t>
  </si>
  <si>
    <t>IR-7</t>
  </si>
  <si>
    <t>Incident Response Assistance</t>
  </si>
  <si>
    <t>IR-8</t>
  </si>
  <si>
    <t>Incident Response Plan</t>
  </si>
  <si>
    <t>MA-1</t>
  </si>
  <si>
    <t>MA-2</t>
  </si>
  <si>
    <t>Controlled Maintenance</t>
  </si>
  <si>
    <t>MA-3</t>
  </si>
  <si>
    <t>Maintenance Tools</t>
  </si>
  <si>
    <t>MA-4</t>
  </si>
  <si>
    <t>: Nonlocal Maintenance</t>
  </si>
  <si>
    <t>MA-5</t>
  </si>
  <si>
    <t>Maintenance Personnel</t>
  </si>
  <si>
    <t>MA-6</t>
  </si>
  <si>
    <t>Timely Maintenance</t>
  </si>
  <si>
    <t>MP-1</t>
  </si>
  <si>
    <t>MP-2</t>
  </si>
  <si>
    <t>Media Access</t>
  </si>
  <si>
    <t>MP-3</t>
  </si>
  <si>
    <t>Media Marking</t>
  </si>
  <si>
    <t>MP-4</t>
  </si>
  <si>
    <t>Media Storage</t>
  </si>
  <si>
    <t>MP-5</t>
  </si>
  <si>
    <t>Media Transport</t>
  </si>
  <si>
    <t>MP-6</t>
  </si>
  <si>
    <t>Media Sanitization</t>
  </si>
  <si>
    <t>MP-7</t>
  </si>
  <si>
    <t>Media Use</t>
  </si>
  <si>
    <t>PE-1</t>
  </si>
  <si>
    <t>PE-10</t>
  </si>
  <si>
    <t>Emergency Shutoff</t>
  </si>
  <si>
    <t>PE-11</t>
  </si>
  <si>
    <t>Emergency Power</t>
  </si>
  <si>
    <t>PE-12</t>
  </si>
  <si>
    <t>Emergency Lighting</t>
  </si>
  <si>
    <t>PE-13</t>
  </si>
  <si>
    <t>Fire Protection</t>
  </si>
  <si>
    <t>PE-14</t>
  </si>
  <si>
    <t>Environmental Controls</t>
  </si>
  <si>
    <t>PE-15</t>
  </si>
  <si>
    <t>Water Damage Protection</t>
  </si>
  <si>
    <t>PE-16</t>
  </si>
  <si>
    <t>Delivery and Removal</t>
  </si>
  <si>
    <t>PE-17</t>
  </si>
  <si>
    <t>Alternate Work Site</t>
  </si>
  <si>
    <t>PE-18</t>
  </si>
  <si>
    <t>Location of System Components</t>
  </si>
  <si>
    <t>PE-19</t>
  </si>
  <si>
    <t>Information Leakage</t>
  </si>
  <si>
    <t>PE-2</t>
  </si>
  <si>
    <t>Physical Access Authorizations</t>
  </si>
  <si>
    <t>PE-20</t>
  </si>
  <si>
    <t>Asset Monitoring and Tracking</t>
  </si>
  <si>
    <t>PE-21</t>
  </si>
  <si>
    <t>Electromagnetic Pulse Protection</t>
  </si>
  <si>
    <t>PE-22</t>
  </si>
  <si>
    <t>Component Marking</t>
  </si>
  <si>
    <t>PE-23</t>
  </si>
  <si>
    <t>Facility Location</t>
  </si>
  <si>
    <t>PE-6</t>
  </si>
  <si>
    <t>Monitoring Physical Access</t>
  </si>
  <si>
    <t>PE-8</t>
  </si>
  <si>
    <t>Visitor Access Records</t>
  </si>
  <si>
    <t>PE-9</t>
  </si>
  <si>
    <t>Power Equipment and Cabling</t>
  </si>
  <si>
    <t>PL-1</t>
  </si>
  <si>
    <t>PL-10</t>
  </si>
  <si>
    <t>Baseline Selection</t>
  </si>
  <si>
    <t>PL-11</t>
  </si>
  <si>
    <t>Baseline Tailoring</t>
  </si>
  <si>
    <t>PL-2</t>
  </si>
  <si>
    <t>System Security and Privacy Plans</t>
  </si>
  <si>
    <t>PL-4(1)</t>
  </si>
  <si>
    <t>Social Media and External Site/Application Usage Restrictions</t>
  </si>
  <si>
    <t>PL-4</t>
  </si>
  <si>
    <t>Rules of Behavior</t>
  </si>
  <si>
    <t>PL-8</t>
  </si>
  <si>
    <t>Security and Privacy Architectures</t>
  </si>
  <si>
    <t>PM-10</t>
  </si>
  <si>
    <t>Authorization Process</t>
  </si>
  <si>
    <t>PM-11</t>
  </si>
  <si>
    <t>Mission and Business Process Definition</t>
  </si>
  <si>
    <t>PM-12</t>
  </si>
  <si>
    <t>Insider Threat Program</t>
  </si>
  <si>
    <t>PM-13</t>
  </si>
  <si>
    <t>Security and Privacy Workforce</t>
  </si>
  <si>
    <t>PM-14</t>
  </si>
  <si>
    <t>Testing, Training, and Monitoring</t>
  </si>
  <si>
    <t>PM-15</t>
  </si>
  <si>
    <t>Security and Privacy Groups and Associations</t>
  </si>
  <si>
    <t>PM-16</t>
  </si>
  <si>
    <t>Threat Awareness Program</t>
  </si>
  <si>
    <t>PM-17</t>
  </si>
  <si>
    <t>Protecting Controlled Unclassified Information on External Systems</t>
  </si>
  <si>
    <t>PM-18</t>
  </si>
  <si>
    <t>Privacy Program Plan</t>
  </si>
  <si>
    <t>PM-19</t>
  </si>
  <si>
    <t>Privacy Program Leadership Role</t>
  </si>
  <si>
    <t>PM-20</t>
  </si>
  <si>
    <t>Dissemination of Privacy Program Information</t>
  </si>
  <si>
    <t>PM-21</t>
  </si>
  <si>
    <t>Accounting of Disclosures</t>
  </si>
  <si>
    <t>PM-22</t>
  </si>
  <si>
    <t>Personally Identifiable Information Quality Management</t>
  </si>
  <si>
    <t>PM-23</t>
  </si>
  <si>
    <t>Data Governance Body</t>
  </si>
  <si>
    <t>PM-24</t>
  </si>
  <si>
    <t>Data Integrity Board</t>
  </si>
  <si>
    <t>PM-25</t>
  </si>
  <si>
    <t>Minimization of Personally Identifiable Information Used in Testing, Training, and Research</t>
  </si>
  <si>
    <t>PM-26</t>
  </si>
  <si>
    <t>Complaint Management</t>
  </si>
  <si>
    <t>PM-27</t>
  </si>
  <si>
    <t>Privacy Reporting</t>
  </si>
  <si>
    <t>PM-28</t>
  </si>
  <si>
    <t>Risk Framing</t>
  </si>
  <si>
    <t>PM-29</t>
  </si>
  <si>
    <t>Risk Management Program Leadership Roles</t>
  </si>
  <si>
    <t>PM-3</t>
  </si>
  <si>
    <t>Information Security and Privacy Resources</t>
  </si>
  <si>
    <t>PM-30</t>
  </si>
  <si>
    <t>Supply Chain Risk Management Strategy</t>
  </si>
  <si>
    <t>PM-31</t>
  </si>
  <si>
    <t>Continuous Monitoring Strategy</t>
  </si>
  <si>
    <t>PM-32</t>
  </si>
  <si>
    <t>Purposing</t>
  </si>
  <si>
    <t>PM-4</t>
  </si>
  <si>
    <t>Plan of Action and Milestones Process</t>
  </si>
  <si>
    <t>PM-5</t>
  </si>
  <si>
    <t>System Inventory</t>
  </si>
  <si>
    <t>PM-6</t>
  </si>
  <si>
    <t>Measures of Performance</t>
  </si>
  <si>
    <t>PM-8</t>
  </si>
  <si>
    <t>Critical Infrastructure Plan</t>
  </si>
  <si>
    <t>PM-9</t>
  </si>
  <si>
    <t>Risk Management Strategy</t>
  </si>
  <si>
    <t>PS-1</t>
  </si>
  <si>
    <t>PS-2</t>
  </si>
  <si>
    <t>Position Risk Designation</t>
  </si>
  <si>
    <t>PS-3</t>
  </si>
  <si>
    <t>Personnel Screening</t>
  </si>
  <si>
    <t>PS-4</t>
  </si>
  <si>
    <t>Personnel Termination</t>
  </si>
  <si>
    <t>PS-5</t>
  </si>
  <si>
    <t>Personnel Transfer</t>
  </si>
  <si>
    <t>PS-6</t>
  </si>
  <si>
    <t>Access Agreements</t>
  </si>
  <si>
    <t>PS-7</t>
  </si>
  <si>
    <t>External Personnel Security</t>
  </si>
  <si>
    <t>PS-8</t>
  </si>
  <si>
    <t>Personnel Sanctions</t>
  </si>
  <si>
    <t>PS-9</t>
  </si>
  <si>
    <t>Position Descriptions</t>
  </si>
  <si>
    <t>RA-1</t>
  </si>
  <si>
    <t>RA-2</t>
  </si>
  <si>
    <t>Security Categorization</t>
  </si>
  <si>
    <t>RA-3</t>
  </si>
  <si>
    <t>Risk Assessment</t>
  </si>
  <si>
    <t>RA-5</t>
  </si>
  <si>
    <t>Vulnerability Monitoring and Scanning</t>
  </si>
  <si>
    <t>RA-5(2)</t>
  </si>
  <si>
    <t>Update Vulnerabilities to be Scanned</t>
  </si>
  <si>
    <t>RA-5(5)</t>
  </si>
  <si>
    <t>Privileged Access</t>
  </si>
  <si>
    <t>RA-5(11)</t>
  </si>
  <si>
    <t>Public Disclosure Program</t>
  </si>
  <si>
    <t>RA-7</t>
  </si>
  <si>
    <t>Risk Response</t>
  </si>
  <si>
    <t>RA-9</t>
  </si>
  <si>
    <t>Criticality Analysis</t>
  </si>
  <si>
    <t>SA-1</t>
  </si>
  <si>
    <t>SA-2</t>
  </si>
  <si>
    <t>Allocation of Resources</t>
  </si>
  <si>
    <t>SA-3</t>
  </si>
  <si>
    <t>System Development Life Cycle</t>
  </si>
  <si>
    <t>SA-4</t>
  </si>
  <si>
    <t>Acquisition Process</t>
  </si>
  <si>
    <t>SA-4(9)</t>
  </si>
  <si>
    <t>Functions, Ports, Protocols, and Services in Use</t>
  </si>
  <si>
    <t>SA-4(10)</t>
  </si>
  <si>
    <t>Use of Approved PIV Products</t>
  </si>
  <si>
    <t>SA-5</t>
  </si>
  <si>
    <t>System Documentation</t>
  </si>
  <si>
    <t>SA-8</t>
  </si>
  <si>
    <t>Security and Privacy Engineering Principles</t>
  </si>
  <si>
    <t>SA-9</t>
  </si>
  <si>
    <t>External System Services</t>
  </si>
  <si>
    <t>SA-9(2)</t>
  </si>
  <si>
    <t>Identification of Functions, Ports, Protocols, and Services</t>
  </si>
  <si>
    <t>SA-10</t>
  </si>
  <si>
    <t>Developer Configuration Management</t>
  </si>
  <si>
    <t>SA-11</t>
  </si>
  <si>
    <t>Developer Testing and Evaluation</t>
  </si>
  <si>
    <t>SA-15</t>
  </si>
  <si>
    <t>Development Process, Standards, and Tools</t>
  </si>
  <si>
    <t>SA-15(3)</t>
  </si>
  <si>
    <t>SC-1</t>
  </si>
  <si>
    <t>SC-2</t>
  </si>
  <si>
    <t>Separation of System and User Functionality</t>
  </si>
  <si>
    <t>SC-3</t>
  </si>
  <si>
    <t>Security Function Isolation</t>
  </si>
  <si>
    <t>SC-4</t>
  </si>
  <si>
    <t>Information in Shared System Resources</t>
  </si>
  <si>
    <t>Denial-of-Service Protection</t>
  </si>
  <si>
    <t>SC-7(3)</t>
  </si>
  <si>
    <t>Access Points</t>
  </si>
  <si>
    <t>SC-7(4)</t>
  </si>
  <si>
    <t>External Telecommunications Services</t>
  </si>
  <si>
    <t>SC-7(5)</t>
  </si>
  <si>
    <t>Deny by Default — Allow by Exception</t>
  </si>
  <si>
    <t>SC-7(7)</t>
  </si>
  <si>
    <t>Split Tunneling for Remote Devices</t>
  </si>
  <si>
    <t>SC-7(8)</t>
  </si>
  <si>
    <t>Route Traffic to Authenticated Proxy Servers</t>
  </si>
  <si>
    <t>SC-8</t>
  </si>
  <si>
    <t>Transmission Confidentiality and Integrity</t>
  </si>
  <si>
    <t>SC-8(1)</t>
  </si>
  <si>
    <t>Cryptographic Protection</t>
  </si>
  <si>
    <t>SC-10</t>
  </si>
  <si>
    <t>Network Disconnect</t>
  </si>
  <si>
    <t>Cryptographic Key Establishment and Management</t>
  </si>
  <si>
    <t>SC-13</t>
  </si>
  <si>
    <t>SC-15</t>
  </si>
  <si>
    <t>Collaborative Computing Devices and Applications</t>
  </si>
  <si>
    <t>SC-17</t>
  </si>
  <si>
    <t>Public Key Infrastructure Certificates</t>
  </si>
  <si>
    <t>SC-18</t>
  </si>
  <si>
    <t>Mobile Code</t>
  </si>
  <si>
    <t>SC-20</t>
  </si>
  <si>
    <t>Secure Name/Address Resolution Service (Authoritative Source)</t>
  </si>
  <si>
    <t>SC-21</t>
  </si>
  <si>
    <t>Secure Name/Address Resolution Service (Recursive or Caching Resolver)</t>
  </si>
  <si>
    <t>SC-22</t>
  </si>
  <si>
    <t>Architecture and Provisioning for Name/Address Resolution Service</t>
  </si>
  <si>
    <t>SC-23</t>
  </si>
  <si>
    <t>Session Authenticity</t>
  </si>
  <si>
    <t>SC-28</t>
  </si>
  <si>
    <t>Protection of Information at Rest</t>
  </si>
  <si>
    <t>SC-28(1)</t>
  </si>
  <si>
    <t>SC-39</t>
  </si>
  <si>
    <t>Process Isolation</t>
  </si>
  <si>
    <t>TABLE E-5: TEMPLATE – IDENTIFICATION OF THREAT EVENTS</t>
  </si>
  <si>
    <t>Identifier</t>
  </si>
  <si>
    <t>Relevance</t>
  </si>
  <si>
    <t>Organization
-defined</t>
  </si>
  <si>
    <t>Table E-2, Table E-3, Task 1-4
or
Organization-defined</t>
  </si>
  <si>
    <t>Table D-7, Table D-8
or
Organization-defined</t>
  </si>
  <si>
    <t>Table E-4 or Organizationdefined</t>
  </si>
  <si>
    <t>Incorrect privilege settings</t>
  </si>
  <si>
    <t>Privileged Insider</t>
  </si>
  <si>
    <t>Unreadable display</t>
  </si>
  <si>
    <t>Display</t>
  </si>
  <si>
    <t>N/A</t>
  </si>
  <si>
    <t>Disk error</t>
  </si>
  <si>
    <t>Possible</t>
  </si>
  <si>
    <t>Exploit vulnerabilities on internal organizational information systems.</t>
  </si>
  <si>
    <t>Fire at backup facility</t>
  </si>
  <si>
    <t>Established</t>
  </si>
  <si>
    <t>Obtain unauthorized access.</t>
  </si>
  <si>
    <t>Natural or man made disaster</t>
  </si>
  <si>
    <t>Conduct attacks targeting and compromising personal devices of critical employees.</t>
  </si>
  <si>
    <t>Cause unauthorized disclosure and/or unavailability by spilling sensitive information.</t>
  </si>
  <si>
    <t>Conduct physical attacks on infrastructures supporting organizational facilities.</t>
  </si>
  <si>
    <t>Trusted Insider</t>
  </si>
  <si>
    <t>Spill sensitive information</t>
  </si>
  <si>
    <t>Overrun</t>
  </si>
  <si>
    <t>Mishandling of critical and/or sensitive information by authorized users</t>
  </si>
  <si>
    <t>Communications contention</t>
  </si>
  <si>
    <t>Communications</t>
  </si>
  <si>
    <t>Earthquake at primary facility</t>
  </si>
  <si>
    <t>Fire at primary facility</t>
  </si>
  <si>
    <t>Flood at primary facility</t>
  </si>
  <si>
    <t>Flood at backup facility</t>
  </si>
  <si>
    <t>Hurricane at primary facility</t>
  </si>
  <si>
    <t>Hurricane at backup facility</t>
  </si>
  <si>
    <t>Resource depletion</t>
  </si>
  <si>
    <t>Infrastructure Failure/Outage</t>
  </si>
  <si>
    <t>Introduction of vulnerabilities into software products</t>
  </si>
  <si>
    <t>Software</t>
  </si>
  <si>
    <t>Pervasive disk error</t>
  </si>
  <si>
    <t>Windstorm/tornado at primary facility</t>
  </si>
  <si>
    <t>Windstorm/tornado at backup facility</t>
  </si>
  <si>
    <t>Perform perimeter network reconnaissance/scanning.</t>
  </si>
  <si>
    <t>Perform network sniffing of exposed networks.</t>
  </si>
  <si>
    <t>Gather information using open source discovery of organizational information.</t>
  </si>
  <si>
    <t>Perform reconnaissance and surveillance of targeted organizations.</t>
  </si>
  <si>
    <t>Perform malware-directed internal reconnaissance.</t>
  </si>
  <si>
    <t>Craft phishing attacks.</t>
  </si>
  <si>
    <t>Craft spear phishing attacks.</t>
  </si>
  <si>
    <t>Craft attacks specifically based on deployed information technology environment.</t>
  </si>
  <si>
    <t>Create counterfeit/spoof website.</t>
  </si>
  <si>
    <t>Craft counterfeit certificates.</t>
  </si>
  <si>
    <t>Create and operate false front organizations to inject malicious components into the supply chain.</t>
  </si>
  <si>
    <t>Deliver known malware to internal organizational information systems (e.g., virus via email).</t>
  </si>
  <si>
    <t>Deliver modified malware to internal organizational information systems.</t>
  </si>
  <si>
    <t>Deliver targeted malware for control of internal systems and exfiltration of data.</t>
  </si>
  <si>
    <t>Deliver malware by providing removable media.</t>
  </si>
  <si>
    <t>Insert untargeted malware into downloadable software and/or into commercial information technology products.</t>
  </si>
  <si>
    <t>Supplier</t>
  </si>
  <si>
    <t>Insert targeted malware into organizational information systems and information system components.</t>
  </si>
  <si>
    <t>Insert specialized malware into organizational information systems based on system configurations.</t>
  </si>
  <si>
    <t>Insert counterfeit or tampered hardware into the supply chain.</t>
  </si>
  <si>
    <t>Insert tampered critical components into organizational systems.</t>
  </si>
  <si>
    <t>Install general-purpose sniffers on organization- controlled information systems or networks.</t>
  </si>
  <si>
    <t>Install persistent and targeted sniffers on organizational information systems and networks.</t>
  </si>
  <si>
    <t>Insert malicious scanning devices (e.g., wireless sniffers) inside facilities.</t>
  </si>
  <si>
    <t>Insert subverted individuals into organizations.</t>
  </si>
  <si>
    <t>Insert subverted individuals into privileged positions in organizations.</t>
  </si>
  <si>
    <t>Exploit physical access of authorized staff to gain access to organizational facilities.</t>
  </si>
  <si>
    <t>Exploit poorly configured or unauthorized information systems exposed to the Internet.</t>
  </si>
  <si>
    <t>Exploit split tunneling.</t>
  </si>
  <si>
    <t>Exploit multi-tenancy in a cloud environment.</t>
  </si>
  <si>
    <t>Exploit known vulnerabilities in mobile systems (e.g., laptops, PDAs, smart phones).</t>
  </si>
  <si>
    <t>Exploit recently discovered vulnerabilities.</t>
  </si>
  <si>
    <t>Exploit vulnerabilities using zero-day attacks.</t>
  </si>
  <si>
    <t>Exploit vulnerabilities in information systems timed with organizational mission/business operations tempo.</t>
  </si>
  <si>
    <t>Exploit insecure or incomplete data deletion in multi- tenant environment.</t>
  </si>
  <si>
    <t>Violate isolation in multi-tenant environment.</t>
  </si>
  <si>
    <t>Compromise critical information systems via physical access.</t>
  </si>
  <si>
    <t>Compromise information systems or devices used externally and reintroduced into the enterprise.</t>
  </si>
  <si>
    <t>Compromise software of organizational critical information systems.</t>
  </si>
  <si>
    <t>Compromise organizational information systems to facilitate exfiltration of data/information.</t>
  </si>
  <si>
    <t>Compromise mission-critical information.</t>
  </si>
  <si>
    <t>Compromise design, manufacture, and/or distribution of information system components (including hardware, software, and firmware).</t>
  </si>
  <si>
    <t>Conduct communications interception attacks.</t>
  </si>
  <si>
    <t>Conduct wireless jamming attacks.</t>
  </si>
  <si>
    <t>Conduct attacks using unauthorized ports, protocols and services.</t>
  </si>
  <si>
    <t>Conduct attacks leveraging traffic/data movement allowed across perimeter.</t>
  </si>
  <si>
    <t>Conduct simple Denial of Service (DoS) attack.</t>
  </si>
  <si>
    <t>Conduct Distributed Denial of Service (DDoS) attacks.</t>
  </si>
  <si>
    <t>Conduct targeted Denial of Service (DoS) attacks.</t>
  </si>
  <si>
    <t>Conduct physical attacks on organizational facilities.</t>
  </si>
  <si>
    <t>Conduct cyber-physical attacks on organizational facilities.</t>
  </si>
  <si>
    <t>Conduct data scavenging attacks in a cloud environment.</t>
  </si>
  <si>
    <t>Conduct brute force login attempts/password guessing attacks.</t>
  </si>
  <si>
    <t>Conduct nontargeted zero-day attacks.</t>
  </si>
  <si>
    <t>Conduct externally-based session hijacking.</t>
  </si>
  <si>
    <t>Conduct internally-based session hijacking.</t>
  </si>
  <si>
    <t>Conduct externally-based network traffic modification (man in the middle) attacks.</t>
  </si>
  <si>
    <t>Conduct internally-based network traffic modification (man in the middle) attacks.</t>
  </si>
  <si>
    <t>Conduct outsider-based social engineering to obtain information.</t>
  </si>
  <si>
    <t>Conduct insider-based social engineering to obtain information.</t>
  </si>
  <si>
    <t>Conduct supply chain attacks targeting and exploiting critical hardware, software, or firmware.</t>
  </si>
  <si>
    <t>Obtain sensitive information through network sniffing of external networks.</t>
  </si>
  <si>
    <t>Obtain sensitive information via exfiltration.</t>
  </si>
  <si>
    <t>Cause degradation or denial of attacker-selected services or capabilities.</t>
  </si>
  <si>
    <t>Cause deterioration/destruction of critical information system components and functions.</t>
  </si>
  <si>
    <t>Cause integrity loss by creating, deleting, and/or modifying data on publicly accessible information systems (e.g., web defacement).</t>
  </si>
  <si>
    <t>Cause integrity loss by polluting or corrupting critical data.</t>
  </si>
  <si>
    <t>Cause integrity loss by injecting false but believable data into organizational information systems.</t>
  </si>
  <si>
    <t>Cause disclosure of critical and/or sensitive information by authorized users.</t>
  </si>
  <si>
    <t>Obtain information by externally located interception of wireless network traffic.</t>
  </si>
  <si>
    <t>Obtain sensitive data/information from publicly accessible information systems.</t>
  </si>
  <si>
    <t>Obtain information by opportunistically stealing or scavenging information systems/components.</t>
  </si>
  <si>
    <t>Obfuscate adversary actions.</t>
  </si>
  <si>
    <t>Adapt cyber attacks based on detailed surveillance.</t>
  </si>
  <si>
    <t>Coordinate a campaign of multi-staged attacks (e.g., hopping).</t>
  </si>
  <si>
    <t>Coordinate a campaign that combines internal and external attacks across multiple information systems and information technologies.</t>
  </si>
  <si>
    <t>Coordinate campaigns across multiple organizations to acquire specific information or achieve desired outcome.</t>
  </si>
  <si>
    <t>Coordinate a campaign that spreads attacks across organizational systems from existing presence.</t>
  </si>
  <si>
    <t>Coordinate a campaign of continuous, adaptive, and changing cyber attacks based on detailed surveillance.</t>
  </si>
  <si>
    <t>Coordinate cyber attacks using external (outsider), internal (insider), and supply chain (supplier) attack vectors.</t>
  </si>
  <si>
    <t>TABLE E-2 REPRESENTATIVE EXAMPLES - ADVERSIAL THREAT EVENTS</t>
  </si>
  <si>
    <t xml:space="preserve">Perform perimeter network reconnaissance/scanning.   </t>
  </si>
  <si>
    <t xml:space="preserve">Adversary uses commercial or free software to scan organizational perimeters to obtain a better understanding of the information technology infrastructure and improve the ability to launch successful attacks.   </t>
  </si>
  <si>
    <t xml:space="preserve">Perform network sniffing of exposed networks. </t>
  </si>
  <si>
    <t xml:space="preserve">Adversary with access to exposed wired or wireless data channels used to transmit information, uses network sniffing to identify components, resources, and protections.  </t>
  </si>
  <si>
    <t xml:space="preserve">Gather information using open source discovery of organizational information. </t>
  </si>
  <si>
    <t xml:space="preserve">Adversary mines publically accessible information to gather information about organizational information systems, business processes, users or personnel, or external relationships that the adversary can subsequently employ in support of an attack.   </t>
  </si>
  <si>
    <t xml:space="preserve">Perform reconnaissance and surveillance of targeted organizations. </t>
  </si>
  <si>
    <t xml:space="preserve">Adversary uses various means (e.g., scanning, physical observation) over time to examine and assess organizations and ascertain points of vulnerability.   </t>
  </si>
  <si>
    <t xml:space="preserve">Perform malware-directed internal reconnaissance.  </t>
  </si>
  <si>
    <t xml:space="preserve">Adversary uses malware installed inside the organizational perimeter to identify targets of opportunity. Because the scanning, probing, or observation does not cross the perimeter, it is not detected by externally placed intrusion detection systems.   </t>
  </si>
  <si>
    <t xml:space="preserve">Craft phishing attacks. </t>
  </si>
  <si>
    <t xml:space="preserve">Adversary counterfeits communications from a legitimate/trustworthy source to acquire sensitive information such as usernames, passwords, or SSNs. Typical attacks occur via email, instant messaging, or comparable means; commonly directing users to websites that appear to be legitimate sites, while actually stealing the entered information.   </t>
  </si>
  <si>
    <t xml:space="preserve">Craft spear phishing attacks. </t>
  </si>
  <si>
    <t xml:space="preserve">Adversary employs phishing attacks targeted at high value targets (e.g., senior leaders/executives).   </t>
  </si>
  <si>
    <t xml:space="preserve">Craft attacks specifically based on deployed information technology environment. </t>
  </si>
  <si>
    <t xml:space="preserve">Adversary develops attacks (e.g., crafts targeted malware) that take advantage of adversary knowledge of the organizational information technology environment.   </t>
  </si>
  <si>
    <t xml:space="preserve">Create counterfeit/spoof website. </t>
  </si>
  <si>
    <t xml:space="preserve">Adversary creates duplicates of legitimate websites; when users visit a counterfeit site, the site can gather information or download malware.   </t>
  </si>
  <si>
    <t xml:space="preserve">Craft counterfeit certificates. </t>
  </si>
  <si>
    <t xml:space="preserve">Adversary counterfeits or compromises a certificate authority, so that malware or connections will appear legitimate.  </t>
  </si>
  <si>
    <t xml:space="preserve">Create and operate false front organizations to inject malicious components into the supply chain. </t>
  </si>
  <si>
    <t xml:space="preserve">Adversary creates false front organizations with the appearance of legitimate suppliers in the critical life-cycle path that then inject corrupted/malicious information system components into the organizational supply chain.   </t>
  </si>
  <si>
    <t xml:space="preserve">Deliver known malware to internal organizational information systems (e.g., virus via email). </t>
  </si>
  <si>
    <t xml:space="preserve">Adversary uses common delivery mechanisms (e.g., email) to install/insert known malware (e. g., malware whose existence is known) into organizational information systems.   </t>
  </si>
  <si>
    <t xml:space="preserve">Deliver modified malware to internal organizational information systems. </t>
  </si>
  <si>
    <t xml:space="preserve">Adversary uses more sophisticated delivery mechanisms than email (e.g., web traffic, instant messaging, FTP) to deliver malware and possibly modifications of known malware to gain access to internal organizational information systems.   </t>
  </si>
  <si>
    <t xml:space="preserve">Deliver targeted malware for control of internal systems and exfiltration of data. </t>
  </si>
  <si>
    <t xml:space="preserve">Adversary installs malware that is specifically designed to take control of internal organizational information systems, identify sensitive information, exfiltrate the information back to adversary, and conceal these actions.   </t>
  </si>
  <si>
    <t xml:space="preserve">Deliver malware by providing removable media. </t>
  </si>
  <si>
    <t xml:space="preserve">Adversary places removable media (e.g., flash drives) containing malware in locations external to organizational physical perimeters but where employees are likely to find the media (e.g., facilities parking lots, exhibits at conferences attended by employees) and use it on organizational information systems.   </t>
  </si>
  <si>
    <t xml:space="preserve">Insert untargeted malware into downloadable software and/or into commercial information technology products. </t>
  </si>
  <si>
    <t xml:space="preserve">Adversary corrupts or inserts malware into common freeware, shareware or commercial information technology products. Adversary is not targeting specific organizations, simply looking for entry points into internal organizational information systems. Note that this is particularly a concern for mobile applications.  </t>
  </si>
  <si>
    <t xml:space="preserve">Insert targeted malware into organizational information systems and information system components. </t>
  </si>
  <si>
    <t xml:space="preserve">Adversary inserts malware into organizational information systems and information system components (e.g., commercial information technology products), specifically targeted to the hardware, software, and firmware used by organizations (based on knowledge gained via reconnaissance).   </t>
  </si>
  <si>
    <t xml:space="preserve">Insert specialized malware into organizational information systems based on system configurations. </t>
  </si>
  <si>
    <t xml:space="preserve">Adversary inserts specialized, non-detectable, malware into organizational information systems based on system configurations, specifically targeting critical information system components based on reconnaissance and placement within organizational information systems. </t>
  </si>
  <si>
    <t xml:space="preserve">Insert counterfeit or tampered hardware into the supply chain. </t>
  </si>
  <si>
    <t xml:space="preserve">Adversary intercepts hardware from legitimate suppliers. Adversary modifies the hardware or replaces it with faulty or otherwise modified hardware.   </t>
  </si>
  <si>
    <t xml:space="preserve">Insert tampered critical components into organizational systems. </t>
  </si>
  <si>
    <t xml:space="preserve">Adversary replaces, though supply chain, subverted insider, or some combination thereof, critical information system components with modified or corrupted components.   </t>
  </si>
  <si>
    <t xml:space="preserve">Install general-purpose sniffers on organizationcontrolled information systems or networks. </t>
  </si>
  <si>
    <t xml:space="preserve">Adversary installs sniffing software onto internal organizational information systems or networks.   </t>
  </si>
  <si>
    <t xml:space="preserve">Install persistent and targeted sniffers on organizational information systems and networks. </t>
  </si>
  <si>
    <t xml:space="preserve">Adversary places within internal organizational information systems or networks software designed to (over a continuous period of time) collect (sniff) network traffic.   </t>
  </si>
  <si>
    <t xml:space="preserve">Insert malicious scanning devices (e.g., wireless sniffers) inside facilities. </t>
  </si>
  <si>
    <t xml:space="preserve">Adversary uses postal service or other commercial delivery services to deliver to organizational mailrooms a device that is able to scan wireless communications accessible from within the mailrooms and then wirelessly transmit information back to adversary.   </t>
  </si>
  <si>
    <t xml:space="preserve">Insert subverted individuals into organizations. </t>
  </si>
  <si>
    <t xml:space="preserve">Adversary places individuals within organizations who are willing and able to carry out actions to cause harm to organizational missions/business functions.   </t>
  </si>
  <si>
    <t xml:space="preserve">Insert subverted individuals into privileged positions in organizations. </t>
  </si>
  <si>
    <t xml:space="preserve">Adversary places individuals in privileged positions within organizations who are willing and able to carry out actions to cause harm to organizational </t>
  </si>
  <si>
    <t xml:space="preserve">missions/business functions. Adversary may target privileged functions to gain access to sensitive information (e.g., user accounts, system files, etc.) and may leverage access to one privileged capability to get to another capability.   </t>
  </si>
  <si>
    <t xml:space="preserve">Exploit physical access of authorized staff to gain access to organizational facilities. </t>
  </si>
  <si>
    <t xml:space="preserve">Adversary follows (“tailgates”) authorized individuals into secure/controlled locations with the goal of gaining access to facilities, circumventing physical security checks.   </t>
  </si>
  <si>
    <t xml:space="preserve">Exploit poorly configured or unauthorized information systems exposed to the Internet. </t>
  </si>
  <si>
    <t xml:space="preserve">Adversary gains access through the Internet to information systems that are not authorized for Internet connectivity or that do not meet organizational configuration requirements. </t>
  </si>
  <si>
    <t xml:space="preserve">Exploit split tunneling. </t>
  </si>
  <si>
    <t xml:space="preserve">Adversary takes advantage of external organizational or personal information systems (e.g., laptop computers at remote locations) that are simultaneously connected securely to organizational information systems or networks and to nonsecure remote connections.   </t>
  </si>
  <si>
    <t xml:space="preserve">Exploit multi-tenancy in a cloud environment. </t>
  </si>
  <si>
    <t xml:space="preserve">Adversary, with processes running in an organizationally-used cloud environment, takes advantage of multi-tenancy to observe behavior of organizational processes, acquire organizational information, or interfere with the timely or correct functioning of organizational processes.  </t>
  </si>
  <si>
    <t xml:space="preserve">Exploit known vulnerabilities in mobile systems (e.g., laptops, PDAs, smart phones). </t>
  </si>
  <si>
    <t xml:space="preserve">Adversary takes advantage of fact that transportable information systems are outside physical protection of organizations and logical protection of corporate firewalls, and compromises the systems based on known vulnerabilities to gather information from those systems.   </t>
  </si>
  <si>
    <t xml:space="preserve">Exploit recently discovered vulnerabilities. </t>
  </si>
  <si>
    <t xml:space="preserve">Adversary exploits recently discovered vulnerabilities in organizational information systems in an attempt to compromise the systems before mitigation measures are available or in place.   </t>
  </si>
  <si>
    <t xml:space="preserve">Exploit vulnerabilities on internal organizational information systems. </t>
  </si>
  <si>
    <t xml:space="preserve">Adversary searches for known vulnerabilities in organizational internal information systems and exploits those vulnerabilities.   </t>
  </si>
  <si>
    <t xml:space="preserve">Adversary employs attacks that exploit as yet unpublicized vulnerabilities. Zero-day attacks are based on adversary insight into the information systems and applications used by organizations as well as adversary reconnaissance of organizations.   </t>
  </si>
  <si>
    <t xml:space="preserve">Exploit vulnerabilities in information systems timed with organizational mission/business operations tempo. </t>
  </si>
  <si>
    <t xml:space="preserve">Adversary launches attacks on organizations in a time and manner consistent with organizational needs to conduct mission/business operations.   </t>
  </si>
  <si>
    <t xml:space="preserve">Exploit insecure or incomplete data deletion in multitenant environment. </t>
  </si>
  <si>
    <t xml:space="preserve">Adversary obtains unauthorized information due to insecure or incomplete data deletion in a multi-tenant environment (e.g., in a cloud computing environment). </t>
  </si>
  <si>
    <t xml:space="preserve">Violate isolation in multi-tenant environment. </t>
  </si>
  <si>
    <t xml:space="preserve">Adversary circumvents or defeats isolation mechanisms in a multi-tenant environment (e.g., in a cloud computing environment) to observe, corrupt, or deny service to hosted services and information/data. </t>
  </si>
  <si>
    <t xml:space="preserve">Compromise critical information systems via physical access. </t>
  </si>
  <si>
    <t xml:space="preserve">Adversary obtains physical access to organizational information systems and makes modifications.   </t>
  </si>
  <si>
    <t xml:space="preserve">Compromise information systems or devices used externally and reintroduced into the enterprise. </t>
  </si>
  <si>
    <t xml:space="preserve">Adversary installs malware on information systems or devices while the </t>
  </si>
  <si>
    <t xml:space="preserve">systems/devices are external to organizations for purposes of subsequently infecting organizations when reconnected.   </t>
  </si>
  <si>
    <t xml:space="preserve">Compromise software of organizational critical information systems. </t>
  </si>
  <si>
    <t xml:space="preserve">Adversary inserts malware or otherwise corrupts critical internal organizational information systems.   </t>
  </si>
  <si>
    <t xml:space="preserve">Compromise organizational information systems to facilitate exfiltration of data/information. </t>
  </si>
  <si>
    <t xml:space="preserve">Adversary implants malware into internal organizational information systems, where the malware over time can identify and then exfiltrate valuable information.   </t>
  </si>
  <si>
    <t xml:space="preserve">Compromise mission-critical information. </t>
  </si>
  <si>
    <t xml:space="preserve">Adversary compromises the integrity of mission-critical information, thus preventing or impeding ability of organizations to which information is supplied, from carrying out operations.   </t>
  </si>
  <si>
    <t xml:space="preserve">Compromise design, manufacture, and/or distribution of information system components (including hardware, software, and firmware). </t>
  </si>
  <si>
    <t xml:space="preserve">Adversary compromises the design, manufacture, and/or distribution of critical information system components at selected suppliers.   </t>
  </si>
  <si>
    <t xml:space="preserve">Conduct communications interception attacks. </t>
  </si>
  <si>
    <t xml:space="preserve">Adversary takes advantage of communications that are either unencrypted or use weak encryption (e.g., encryption containing publically known flaws), targets those communications, and gains access to transmitted information and channels.   </t>
  </si>
  <si>
    <t xml:space="preserve">Conduct wireless jamming attacks. </t>
  </si>
  <si>
    <t xml:space="preserve">Adversary takes measures to interfere with wireless communications so as to impede or prevent communications from reaching intended recipients.   </t>
  </si>
  <si>
    <t xml:space="preserve">Conduct attacks using unauthorized ports, protocols and services. </t>
  </si>
  <si>
    <t xml:space="preserve">Adversary conducts attacks using ports, protocols, and services for ingress and egress that are not authorized for use by organizations.   </t>
  </si>
  <si>
    <t xml:space="preserve">Conduct attacks leveraging traffic/data movement allowed across perimeter. </t>
  </si>
  <si>
    <t xml:space="preserve">Adversary makes use of permitted information flows (e.g., email communication, removable storage) to compromise internal information systems, which allows adversary to obtain and exfiltrate sensitive information through perimeters.   </t>
  </si>
  <si>
    <t xml:space="preserve">Conduct simple Denial of Service (DoS) attack. </t>
  </si>
  <si>
    <t xml:space="preserve">Adversary attempts to make an Internet-accessible resource unavailable to intended users, or prevent the resource from functioning efficiently or at all, temporarily or indefinitely.   </t>
  </si>
  <si>
    <t xml:space="preserve">Conduct Distributed Denial of Service (DDoS) attacks. </t>
  </si>
  <si>
    <t xml:space="preserve">Adversary uses multiple compromised information systems to attack a single target, thereby causing denial of service for users of the targeted information systems.   </t>
  </si>
  <si>
    <t xml:space="preserve">Conduct targeted Denial of Service (DoS) attacks. </t>
  </si>
  <si>
    <t xml:space="preserve">Adversary targets DoS attacks to critical information systems, components, or supporting infrastructures, based on adversary knowledge of dependencies. </t>
  </si>
  <si>
    <t xml:space="preserve">Conduct physical attacks on organizational facilities. </t>
  </si>
  <si>
    <t xml:space="preserve">Adversary conducts a physical attack on organizational facilities (e.g., sets a fire). </t>
  </si>
  <si>
    <t xml:space="preserve">Conduct physical attacks on infrastructures supporting organizational facilities. </t>
  </si>
  <si>
    <t xml:space="preserve">Adversary conducts a physical attack on one or more infrastructures supporting organizational facilities (e.g., breaks a water main, cuts a power line). </t>
  </si>
  <si>
    <t xml:space="preserve">Conduct cyber-physical attacks on organizational facilities. </t>
  </si>
  <si>
    <t xml:space="preserve">Adversary conducts a cyber-physical attack on organizational facilities (e.g., remotely changes HVAC settings). </t>
  </si>
  <si>
    <t xml:space="preserve">Conduct data scavenging attacks in a cloud environment. </t>
  </si>
  <si>
    <t xml:space="preserve">Adversary obtains data used and then deleted by organizational processes running in a cloud environment. </t>
  </si>
  <si>
    <t xml:space="preserve">Conduct brute force login attempts/password guessing attacks. </t>
  </si>
  <si>
    <t xml:space="preserve">Adversary attempts to gain access to organizational information systems by random or systematic guessing of passwords, possibly supported by password cracking utilities.   </t>
  </si>
  <si>
    <t xml:space="preserve">Conduct nontargeted zero-day attacks. </t>
  </si>
  <si>
    <t xml:space="preserve">Adversary employs attacks that exploit as yet unpublicized vulnerabilities. Attacks are not based on any adversary insights into specific vulnerabilities of organizations.   </t>
  </si>
  <si>
    <t xml:space="preserve">Adversary takes control of (hijacks) already established, legitimate information system sessions between organizations and external entities (e.g., users connecting from off-site locations).   </t>
  </si>
  <si>
    <t xml:space="preserve">Conduct internally-based session hijacking. </t>
  </si>
  <si>
    <t xml:space="preserve">Adversary places an entity within organizations in order to gain access to organizational information systems or networks for the express purpose of taking control (hijacking) an already established, legitimate session either between organizations and external entities (e.g., users connecting from remote locations) or between two locations within internal networks.   </t>
  </si>
  <si>
    <t xml:space="preserve">Adversary, operating outside organizational systems, intercepts/eavesdrops on sessions between organizational and external systems. Adversary then relays messages between organizational and external systems, making them believe that they are talking directly to each other over a private connection, when in fact the entire communication is controlled by the adversary. Such attacks are of particular concern for organizational use of community, hybrid, and public clouds.  </t>
  </si>
  <si>
    <t xml:space="preserve">Conduct internally-based network traffic modification (man in the middle) attacks. </t>
  </si>
  <si>
    <t xml:space="preserve">Adversary operating within the organizational infrastructure intercepts and corrupts data sessions.   </t>
  </si>
  <si>
    <t xml:space="preserve">Externally placed adversary takes actions (e.g., using email, phone) with the intent of persuading or otherwise tricking individuals within organizations into revealing critical/sensitive information (e.g., personally identifiable information).   </t>
  </si>
  <si>
    <t xml:space="preserve">Conduct insider-based social engineering to obtain information. </t>
  </si>
  <si>
    <t xml:space="preserve">Internally placed adversary takes actions (e.g., using email, phone) so that individuals within organizations reveal critical/sensitive information (e.g., mission information).   </t>
  </si>
  <si>
    <t xml:space="preserve">Conduct attacks targeting and compromising personal devices of critical employees. </t>
  </si>
  <si>
    <t xml:space="preserve">Adversary targets key organizational employees by placing malware on their personally owned information systems and devices (e.g., laptop/notebook computers, personal digital assistants, smart phones). The intent is to take advantage of any instances where employees use personal information systems or devices to handle critical/sensitive information.   </t>
  </si>
  <si>
    <t xml:space="preserve">Conduct supply chain attacks targeting and exploiting critical hardware, software, or firmware. </t>
  </si>
  <si>
    <t xml:space="preserve">Adversary targets and compromises the operation of software (e.g., through malware injections), firmware, and hardware that performs critical functions for organizations. This is largely accomplished as supply chain attacks on both commercial off-the-shelf and custom information systems and components.   </t>
  </si>
  <si>
    <t xml:space="preserve">Obtain sensitive information through network sniffing of external networks. </t>
  </si>
  <si>
    <t xml:space="preserve">Adversary with access to exposed wired or wireless data channels that </t>
  </si>
  <si>
    <t xml:space="preserve">organizations (or organizational personnel) use to transmit information (e.g., kiosks, public wireless networks) intercepts communications.  </t>
  </si>
  <si>
    <t xml:space="preserve">Obtain sensitive information via exfiltration. </t>
  </si>
  <si>
    <t xml:space="preserve">Adversary directs malware on organizational systems to locate and surreptitiously transmit sensitive information.  </t>
  </si>
  <si>
    <t xml:space="preserve">Cause degradation or denial of attacker-selected services or capabilities. </t>
  </si>
  <si>
    <t xml:space="preserve">Adversary directs malware on organizational systems to impair the correct and timely support of organizational mission/business functions.   </t>
  </si>
  <si>
    <t xml:space="preserve">Cause deterioration/destruction of critical information system components and functions. </t>
  </si>
  <si>
    <t xml:space="preserve">Adversary destroys or causes deterioration of critical information system components to impede or eliminate organizational ability to carry out missions or business functions. Detection of this action is not a concern.   </t>
  </si>
  <si>
    <t xml:space="preserve">Cause integrity loss by creating, deleting, and/or modifying data on publicly accessible information systems (e.g., web defacement). </t>
  </si>
  <si>
    <t xml:space="preserve">Adversary vandalizes, or otherwise makes unauthorized changes to, organizational websites or data on websites.   </t>
  </si>
  <si>
    <t xml:space="preserve">Cause integrity loss by polluting or corrupting critical data. </t>
  </si>
  <si>
    <t xml:space="preserve">Adversary implants corrupted and incorrect data in critical data, resulting in suboptimal actions or loss of confidence in organizational data/services.   </t>
  </si>
  <si>
    <t xml:space="preserve">Cause integrity loss by injecting false but believable data into organizational information systems. </t>
  </si>
  <si>
    <t xml:space="preserve">Adversary injects false but believable data into organizational information systems, resulting in suboptimal actions or loss of confidence in organizational data/services.   </t>
  </si>
  <si>
    <t xml:space="preserve">Cause disclosure of critical and/or sensitive information by authorized users. </t>
  </si>
  <si>
    <t xml:space="preserve">Adversary induces (e.g., via social engineering) authorized users to inadvertently expose, disclose, or mishandle critical/sensitive information.   </t>
  </si>
  <si>
    <t xml:space="preserve">Cause unauthorized disclosure and/or unavailability by spilling sensitive information. </t>
  </si>
  <si>
    <t xml:space="preserve">Adversary contaminates organizational information systems (including devices and networks) by causing them to handle information of a classification/sensitivity for which they have not been authorized. The information is exposed to individuals who are not authorized access to such information, and the information system, device, or network is unavailable while the spill is investigated and mitigated.  </t>
  </si>
  <si>
    <t xml:space="preserve">Obtain information by externally located interception of wireless network traffic. </t>
  </si>
  <si>
    <t xml:space="preserve">Adversary intercepts organizational communications over wireless networks.  Examples include targeting public wireless access or hotel networking connections, and drive-by subversion of home or organizational wireless routers.    </t>
  </si>
  <si>
    <t xml:space="preserve">Obtain unauthorized access. </t>
  </si>
  <si>
    <t xml:space="preserve">Adversary with authorized access to organizational information systems, gains access to resources that exceeds authorization.  </t>
  </si>
  <si>
    <t xml:space="preserve">Obtain sensitive data/information from publicly accessible information systems. </t>
  </si>
  <si>
    <t xml:space="preserve">Adversary scans or mines information on publically accessible servers and web pages of organizations with the intent of finding sensitive information.   </t>
  </si>
  <si>
    <t xml:space="preserve">Obtain information by opportunistically stealing or scavenging information systems/components. </t>
  </si>
  <si>
    <t xml:space="preserve">Adversary steals information systems or components (e. g., laptop computers or data storage media) that are left unattended outside of the physical perimeters of organizations, or scavenges discarded components.   </t>
  </si>
  <si>
    <t xml:space="preserve">Obfuscate adversary actions. </t>
  </si>
  <si>
    <t xml:space="preserve">Adversary takes actions to inhibit the effectiveness of the intrusion detection systems or auditing capabilities within organizations.   </t>
  </si>
  <si>
    <t xml:space="preserve">Adapt cyber attacks based on detailed surveillance. </t>
  </si>
  <si>
    <t xml:space="preserve">Adversary adapts behavior in response to surveillance and organizational security measures.   </t>
  </si>
  <si>
    <t xml:space="preserve">Coordinate a campaign of multi-staged attacks (e.g., hopping). </t>
  </si>
  <si>
    <t xml:space="preserve">Adversary moves the source of malicious commands or actions from one compromised information system to another, making analysis difficult.   </t>
  </si>
  <si>
    <t xml:space="preserve">Coordinate a campaign that combines internal and external attacks across multiple information systems and information technologies. </t>
  </si>
  <si>
    <t xml:space="preserve">Adversary combines attacks that require both physical presence within organizational facilities and cyber methods to achieve success. Physical attack steps may be as simple as convincing maintenance personnel to leave doors or cabinets open.   </t>
  </si>
  <si>
    <t xml:space="preserve">Coordinate campaigns across multiple organizations to acquire specific information or achieve desired outcome. </t>
  </si>
  <si>
    <t xml:space="preserve">Adversary does not limit planning to the targeting of one organization. Adversary observes multiple organizations to acquire necessary information on targets of interest.   </t>
  </si>
  <si>
    <t xml:space="preserve">Coordinate a campaign that spreads attacks across organizational systems from existing presence. </t>
  </si>
  <si>
    <t xml:space="preserve">Adversary uses existing presence within organizational systems to extend the adversary’s span of control to other organizational systems including organizational infrastructure. Adversary thus is in position to further undermine organizational ability to carry out missions/business functions.   </t>
  </si>
  <si>
    <t xml:space="preserve">Coordinate a campaign of continuous, adaptive, and changing cyber attacks based on detailed surveillance. </t>
  </si>
  <si>
    <t xml:space="preserve">Adversary attacks continually change in response to surveillance and organizational security measures.   </t>
  </si>
  <si>
    <t xml:space="preserve">Coordinate cyber attacks using external (outsider), internal (insider), and supply chain (supplier) attack vectors. </t>
  </si>
  <si>
    <t xml:space="preserve">Adversary employs continuous, coordinated attacks, potentially using all three attack vectors for the purpose of impeding organizational operations.   </t>
  </si>
  <si>
    <t>TABLE E-3: REPRESENTATIVE EXAMPLES - NON-ADVERSARIAL THREAT EVENTS</t>
  </si>
  <si>
    <t>Threat Event</t>
  </si>
  <si>
    <t xml:space="preserve">Spill sensitive information </t>
  </si>
  <si>
    <t xml:space="preserve">Authorized user erroneously contaminates a device, information system, or network by placing on it or sending to it information of a classification/sensitivity which it has not been authorized to handle. The information is exposed to access by unauthorized individuals, and as a result, the device, system, or network is unavailable while the spill is investigated and mitigated.  </t>
  </si>
  <si>
    <t xml:space="preserve">Mishandling of critical and/or sensitive information by authorized users </t>
  </si>
  <si>
    <t xml:space="preserve">Authorized privileged user inadvertently exposes critical/sensitive information. </t>
  </si>
  <si>
    <t xml:space="preserve">Authorized privileged user or administrator erroneously assigns a user exceptional privileges or sets privilege requirements on a resource too low.  </t>
  </si>
  <si>
    <t xml:space="preserve">Communications contention </t>
  </si>
  <si>
    <t xml:space="preserve">Degraded communications performance due to contention. </t>
  </si>
  <si>
    <t xml:space="preserve">Unreadable display </t>
  </si>
  <si>
    <t xml:space="preserve">Display unreadable due to aging equipment. </t>
  </si>
  <si>
    <t xml:space="preserve">Earthquake at primary </t>
  </si>
  <si>
    <t xml:space="preserve">Earthquake of organization-defined magnitude at primary facility makes facility inoperable. </t>
  </si>
  <si>
    <t xml:space="preserve">facility </t>
  </si>
  <si>
    <t xml:space="preserve">Fire at primary facility </t>
  </si>
  <si>
    <t xml:space="preserve">Fire (not due to adversarial activity) at primary facility makes facility inoperable. </t>
  </si>
  <si>
    <t xml:space="preserve">Fire at backup facility </t>
  </si>
  <si>
    <t xml:space="preserve">Fire (not due to adversarial activity) at backup facility makes facility inoperable or destroys backups of software, configurations, data, and/or logs. </t>
  </si>
  <si>
    <t xml:space="preserve">Flood at primary </t>
  </si>
  <si>
    <t xml:space="preserve">Flood (not due to adversarial activity) at primary facility makes facility inoperable. </t>
  </si>
  <si>
    <t xml:space="preserve">Flood at backup </t>
  </si>
  <si>
    <t xml:space="preserve">Flood (not due to adversarial activity) at backup facility makes facility inoperable or destroys backups of software, configurations, data, and/or logs. </t>
  </si>
  <si>
    <t xml:space="preserve">Hurricane at primary </t>
  </si>
  <si>
    <t xml:space="preserve">Hurricane of organization-defined strength at primary facility makes facility inoperable. </t>
  </si>
  <si>
    <t xml:space="preserve">Hurricane at backup </t>
  </si>
  <si>
    <t xml:space="preserve">Hurricane of organization-defined strength at backup facility makes facility inoperable or destroys backups of software, configurations, data, and/or logs. </t>
  </si>
  <si>
    <t xml:space="preserve">Resource depletion </t>
  </si>
  <si>
    <t xml:space="preserve">Degraded processing performance due to resource depletion. </t>
  </si>
  <si>
    <t xml:space="preserve">Introduction of vulnerabilities into software products </t>
  </si>
  <si>
    <t xml:space="preserve">Due to inherent weaknesses in programming languages and software development environments, errors and vulnerabilities are introduced into commonly used software products. </t>
  </si>
  <si>
    <t xml:space="preserve">Disk error </t>
  </si>
  <si>
    <t xml:space="preserve">Corrupted storage due to a disk error. </t>
  </si>
  <si>
    <t xml:space="preserve">Pervasive disk error </t>
  </si>
  <si>
    <t xml:space="preserve">Multiple disk errors due to aging of a set of devices all acquired at the same time, from the same supplier. </t>
  </si>
  <si>
    <t xml:space="preserve">Windstorm/tornado at primary facility </t>
  </si>
  <si>
    <t xml:space="preserve">Windstorm/tornado of organization-defined strength at primary facility makes facility inoperable. </t>
  </si>
  <si>
    <t xml:space="preserve">Windstorm/tornado at backup facility </t>
  </si>
  <si>
    <t xml:space="preserve">Windstorm/tornado of organization-defined strength at backup facility makes facility inoperable or destroys backups of software, configurations, data, and/or logs. </t>
  </si>
  <si>
    <t>TABLE E-2 RELEVANCE OF THREAT EVENTS</t>
  </si>
  <si>
    <t xml:space="preserve">The threat event or TTP has been seen by the organization.  </t>
  </si>
  <si>
    <t>The threat event or TTP has been seen by the organization’s peers or partners</t>
  </si>
  <si>
    <t>The threat event or TTP has been reported by a trusted source.</t>
  </si>
  <si>
    <t>Predicted</t>
  </si>
  <si>
    <t>The threat event or TTP has been predicted by a trusted source.</t>
  </si>
  <si>
    <t>The threat event or TTP has been described by a somewhat credible source.</t>
  </si>
  <si>
    <t>The threat event or TTP is not currently applicable. For example, a threat event or TTP could assume specific technologies, architectures, or processes that are not present in the organization, mission/business process, EA segment, or information system; or predisposing conditions that are not present (e.g., location in a flood plain). Alternately, if the organization is using detailed or specific threat information, a threat event or TTP could be deemed inapplicable because information indicates that no adversary is expected to initiate the threat event or use the TTP.</t>
  </si>
  <si>
    <t>TABLE D-7 TEMPLATE - IDENTIFICANTION OF ADVERSARIAL THREAT SOURCES</t>
  </si>
  <si>
    <t>Identifer</t>
  </si>
  <si>
    <t>In Scope</t>
  </si>
  <si>
    <t>Capabilities</t>
  </si>
  <si>
    <t>Organization-defined</t>
  </si>
  <si>
    <t>TABLE D-2 and Task 1-4 or Organization-defined</t>
  </si>
  <si>
    <t>YES/NO</t>
  </si>
  <si>
    <t xml:space="preserve"> Table D-3</t>
  </si>
  <si>
    <t>Table D-4</t>
  </si>
  <si>
    <t>Table D-5</t>
  </si>
  <si>
    <t>Ad hoc</t>
  </si>
  <si>
    <t>No</t>
  </si>
  <si>
    <t>Competitor</t>
  </si>
  <si>
    <t>Yes</t>
  </si>
  <si>
    <t>Customer</t>
  </si>
  <si>
    <t>Group</t>
  </si>
  <si>
    <t>TABLE D-8 - IDENTIFICATION OF NON-ADVERSARIAL THREAT SOURCES</t>
  </si>
  <si>
    <t>Threat Sources full List</t>
  </si>
  <si>
    <t>User</t>
  </si>
  <si>
    <t>Bombing</t>
  </si>
  <si>
    <t>Privileged User</t>
  </si>
  <si>
    <t>Processing</t>
  </si>
  <si>
    <t>Controller</t>
  </si>
  <si>
    <t>Sensor</t>
  </si>
  <si>
    <t>Earthquake</t>
  </si>
  <si>
    <t>Electrical Power</t>
  </si>
  <si>
    <t>Temperature/Humidity Control</t>
  </si>
  <si>
    <t>Power Supply</t>
  </si>
  <si>
    <t>OS</t>
  </si>
  <si>
    <t>fire</t>
  </si>
  <si>
    <t>Networking</t>
  </si>
  <si>
    <t>Flood/Tsunami</t>
  </si>
  <si>
    <t>General-Purpose Application</t>
  </si>
  <si>
    <t>Mission Specific-Application</t>
  </si>
  <si>
    <t>Hurricane</t>
  </si>
  <si>
    <t>Windstorm/Tornado</t>
  </si>
  <si>
    <t>Unusual Natural Event</t>
  </si>
  <si>
    <t>Telecommunications</t>
  </si>
  <si>
    <t>TABLE D-5: ASSESSMENT SCALE - CHARACTERISTIC OF ADVERSARY TARGETING</t>
  </si>
  <si>
    <t>Qualitative Values</t>
  </si>
  <si>
    <t>Semi Quantitative  Values</t>
  </si>
  <si>
    <t>Semi Quantitative Values</t>
  </si>
  <si>
    <t>96 to 100</t>
  </si>
  <si>
    <t>The adversary analyzes information obtained via reconnaissance and attacks to target persistently a specific organization, enterprise, program, mission or business function, focusing on specific high-value or mission-critical information, resources, supply flows, or functions; specific employees or positions; supporting infrastructure providers/suppliers; or partnering organizations</t>
  </si>
  <si>
    <t>80 to 95</t>
  </si>
  <si>
    <t xml:space="preserve">The adversary analyzes information obtained via reconnaissance to target persistently a specific
organization, enterprise, program, mission or business function, focusing on specific high-value or mission-critical information , resources, supply flows, or functions, specific employees supporting those functions, or key positions. </t>
  </si>
  <si>
    <t>21 to 79</t>
  </si>
  <si>
    <t>The adversary analyzes publicly available information to target persistently specific high-value
organizations (and key positions, such as Chief Information Officer), programs, or information.</t>
  </si>
  <si>
    <t>5 to 20</t>
  </si>
  <si>
    <t>0 to 4</t>
  </si>
  <si>
    <t>The adversary may or may not target any specific organizations or classes of organizations</t>
  </si>
  <si>
    <t>TABLE D-6: ASSESMENT SCALE - E – RANGE OF EFFECTS FOR NON-ADVERSARIAL THREAT SOURCES</t>
  </si>
  <si>
    <t>Qulitative Value</t>
  </si>
  <si>
    <t>Semi- Quantitative Value</t>
  </si>
  <si>
    <t>Semi-Quantitave Values</t>
  </si>
  <si>
    <t>96-100</t>
  </si>
  <si>
    <t>The effects of the error, accident, or act of nature are sweeping, involving almost all of the cyber resources of the [Tier 3: information systems; Tier 2: mission/business processes or EA segments, common infrastructure, or support services; Tier 1: organization/governance structure].</t>
  </si>
  <si>
    <t>The effects of the error, accident, or act of nature are wide-ranging, involving a significant portion of the cyber resources of the [Tier 3: information systems; Tier 2: mission/business processes or EA segments, common infrastructure, or support services; Tier 1: organization/governance structure], including some critical resources.</t>
  </si>
  <si>
    <t>The effects of the error, accident, or act of nature are limited, involving some of the cyber
resources of the [Tier 3: information systems; Tier 2: mission/business processes or EA segments, common infrastructure, or support services; Tier 1: organization/governance structure], but involving no critical resources.</t>
  </si>
  <si>
    <t>TABLE D-3: ASSESMENT SCALE - CHARACTERISTICS OF ADVERSARY CAPABILITY</t>
  </si>
  <si>
    <t>The adversary has a sophisticated level of expertise, with significant resources and opportunities to support multiple successful coordinated attacks.</t>
  </si>
  <si>
    <t>The adversary has moderate resources, expertise, and opportunities to support multiple successful attacks.</t>
  </si>
  <si>
    <t>The adversary has limited resources, expertise, and opportunities to support a successful attack.</t>
  </si>
  <si>
    <t xml:space="preserve">The adversary has very limited resources, expertise, and opportunities to support a successful
attack. </t>
  </si>
  <si>
    <t>TABLE D-4: ASSESMENT SCALE - CHARACTERISTICS OF ADVERSARY INTENT</t>
  </si>
  <si>
    <t>Semi- Quantitative Values</t>
  </si>
  <si>
    <t>Values</t>
  </si>
  <si>
    <t>The adversary seeks to undermine, severely impede, or destroy a core mission or business function, program, or enterprise by exploiting a presence in the organization’s information systems or infrastructure. The adversary is concerned about disclosure of tradecraft only to the extent that it would impede its ability to complete stated goals</t>
  </si>
  <si>
    <t xml:space="preserve">The adversary seeks to usurp, disrupt, or deface the organization’s cyber resources, and does so
without concern about attack detection/disclosure of tradecraft. </t>
  </si>
  <si>
    <t>TABLE F-5: ASSESSMENT SCALE – PERVASIVENESS OF PREDISPOSING CONDITIONS</t>
  </si>
  <si>
    <t>Qualitative
Values</t>
  </si>
  <si>
    <t>Semi-Quantitative
Values</t>
  </si>
  <si>
    <t>Column1</t>
  </si>
  <si>
    <t>Applies to all organizational missions/business functions (Tier 1), mission/business processes (Tier 2), or information systems (Tier 3).</t>
  </si>
  <si>
    <t>80-95</t>
  </si>
  <si>
    <t>Applies to most organizational missions/business functions (Tier 1), mission/business processes (Tier 2), or information systems (Tier 3).</t>
  </si>
  <si>
    <t>21-79</t>
  </si>
  <si>
    <t>Applies to many organizational missions/business functions (Tier 1), mission/business processes (Tier 2), or information systems (Tier 3).</t>
  </si>
  <si>
    <t>Applies to some organizational missions/business functions (Tier 1), mission/business processes (Tier 2), or information systems (Tier 3).</t>
  </si>
  <si>
    <t>0-4</t>
  </si>
  <si>
    <t>Applies to few organizational missions/business functions (Tier 1), mission/business processes (Tier 2), or information systems (Tier 3).</t>
  </si>
  <si>
    <t>TABLE F-6: TEMPLATE – IDENTIFICATION OF PREDISPOSING CONDITIONS</t>
  </si>
  <si>
    <t>Predisposing Condition Source of Information</t>
  </si>
  <si>
    <t>Pervasiveness
of Condition</t>
  </si>
  <si>
    <t>Table F-4, Task 1-4
or
Organization-defined</t>
  </si>
  <si>
    <t>Table F-5
or
Organization-defined</t>
  </si>
  <si>
    <t>Classified National Security Information</t>
  </si>
  <si>
    <t>Compartments</t>
  </si>
  <si>
    <t>Controlled Unclassified Information</t>
  </si>
  <si>
    <t>Personally Unclassified Information</t>
  </si>
  <si>
    <t>Special Access Prgroams</t>
  </si>
  <si>
    <t>Agreement-Determined</t>
  </si>
  <si>
    <t>Compliance with technical standards</t>
  </si>
  <si>
    <t>Use of specific products or product lines</t>
  </si>
  <si>
    <t>Solutions for and/or approaches to user-based collaboration and info sharing</t>
  </si>
  <si>
    <t>Allocation of specific security functionality to common controls</t>
  </si>
  <si>
    <t>Networked multiuser</t>
  </si>
  <si>
    <t>Single-user</t>
  </si>
  <si>
    <t>Stand-alone / nonnetworked</t>
  </si>
  <si>
    <t>Restricted functionality</t>
  </si>
  <si>
    <t>Fixed-site</t>
  </si>
  <si>
    <t>Land-based, Airborne, Sea-based, Space-based</t>
  </si>
  <si>
    <t>Mobile</t>
  </si>
  <si>
    <t>Size of population</t>
  </si>
  <si>
    <t>Clearance/vetting of population</t>
  </si>
  <si>
    <t>TABLE F-2: ASSESSMENT SCALE – VULNERABILITY SEVERITY</t>
  </si>
  <si>
    <t>The vulnerability is exposed and exploitable, and its exploitation could result in severe impacts. Relevant security control or other remediation is not implemented and not planned; or no security measure can be identified to remediate the vulnerability</t>
  </si>
  <si>
    <t>The vulnerability is of moderate concern, based on the exposure of the vulnerability and ease of exploitation and/or on the severity of impacts that could result from its exploitation. Relevant security control or other remediation is partially implemented and somewhat effective.</t>
  </si>
  <si>
    <t>The vulnerability is of minor concern, but effectiveness of remediation could be improved.Relevant security control or other remediation is fully implemented and somewhat effective.</t>
  </si>
  <si>
    <t>The vulnerability is not of concern. Relevant security control or other remediation is fully implemented, assessed, and effective</t>
  </si>
  <si>
    <t>TABLE G-2: ASSESMENT SCALE - ASSESSMENT SCALE – LIKELIHOOD OF THREAT EVENT INITIATION (ADVERSARIAL)</t>
  </si>
  <si>
    <t>Adversary is almost certain to initiate the threat event.</t>
  </si>
  <si>
    <t>Adversary is highly likely to initiate the threat event.</t>
  </si>
  <si>
    <t>Adversary is somewhat likely to initiate the treat event.</t>
  </si>
  <si>
    <t>Adversary is unlikely to initiate the threat event.</t>
  </si>
  <si>
    <t>Adversary is highly unlikely to initiate the threat event.</t>
  </si>
  <si>
    <t>TABLE G-3: ASSESMENT SCALE - ASSESSMENT SCALE – LIKELIHOOD OF THREAT EVENT OCCURENCE (NON-ADVERSARIAL)</t>
  </si>
  <si>
    <t>Error, accident, or act of nature is almost certain to occur; or occurs more than 100 times a year</t>
  </si>
  <si>
    <t>Error, accident, or act of nature is highly likely to occur; or occurs between 10-100 times a year.</t>
  </si>
  <si>
    <t>Error, accident, or act of nature is somewhat likely to occur; or occurs between 1-10 times a year.</t>
  </si>
  <si>
    <t>Error, accident, or act of nature is unlikely to occur; or occurs less than once a year, but more than once every 10 years.</t>
  </si>
  <si>
    <t>Error, accident, or act of nature is highly unlikely to occur; or occurs less than once every 10 years.</t>
  </si>
  <si>
    <t xml:space="preserve">TABLE G-4: ASSESMENT SCALE - ASSESSMENT SCALE – LIKELIHOOD OF THREAT EVENT RESULTING IN ADVERSE IMPACTS </t>
  </si>
  <si>
    <t>If the threat event is initiated or occurs, it is almost certain to have adverse impacts.</t>
  </si>
  <si>
    <t>If the threat event is initiated or occurs, it is highly likely to have adverse impacts.</t>
  </si>
  <si>
    <t>If the threat event is initiated or occurs, it is somewhat likely to have adverse impacts.</t>
  </si>
  <si>
    <t>If the threat event is initiated or occurs, it is unlikely to have adverse impacts.</t>
  </si>
  <si>
    <t>If the threat event is initiated or occurs, it is highly unlikely to have adverse impacts.</t>
  </si>
  <si>
    <t>TABLE H-3 ASSESMENT SCALE - IMPACT OF THREAT EVENTS</t>
  </si>
  <si>
    <t xml:space="preserve">Semi-Quantitative
Values </t>
  </si>
  <si>
    <t>The threat event could be expected to have multiple severe or catastrophic adverse effects on organizational operations, organizational assets, individuals, other organizations, or the Nation.</t>
  </si>
  <si>
    <t>The threat event could be expected to have a severe or catastrophic adverse effect on organizational operations, organizational assets, individuals, other organizations, or the Nation. A severe or catastrophic adverse effect means that, for example, the threat event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life-threatening injuries</t>
  </si>
  <si>
    <t>21 79</t>
  </si>
  <si>
    <t>The threat event could be expected to have a serious adverse effect on organizational operations, organizational assets, individuals other organizations, or the Nation. A serious adverse effect means that, for example, the threat event might: (i) cause a significant degradation in the mission capability to an extent and duration that the organization is able to perform its primary functions, but the effectiveness of the functions is significantly reduced; (ii) results in significant damage to organizational assets; (iii) result in significant financial loss; or (iv) result in significant harm to individuals that do not involve loss of life or serious life-threatening injuries</t>
  </si>
  <si>
    <t>5 20</t>
  </si>
  <si>
    <t>The threat event could be expected to have a limited adverse effect on organizational operations, organizational assets, individuals other organizations, or the Nation. A limited adverse effect means that, for example, the threat event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</si>
  <si>
    <t>The threat event could be expected to have a negligible adverse effect on organizational operations, organizational assets, individuals other organizations, or the Nation.</t>
  </si>
  <si>
    <t>TABLE H-4: TEMPLATE – IDENTIFICATION OF ADVERSE IMPACTS</t>
  </si>
  <si>
    <t xml:space="preserve">Type of Impact </t>
  </si>
  <si>
    <t>Maximum Impact</t>
  </si>
  <si>
    <t>Table H-2
or
Organization-defined</t>
  </si>
  <si>
    <t>Table H-3
or
Organization-defined</t>
  </si>
  <si>
    <t>HARM TO OPERATIONS</t>
  </si>
  <si>
    <t>Inability to perform current missions/business functions in a sufficiently timely manner</t>
  </si>
  <si>
    <t>Inability to perform current missions/business functions with sufficient confidence and/or correctness</t>
  </si>
  <si>
    <t>Inability to perform current missions/business functions within planned resource constraints</t>
  </si>
  <si>
    <t>Inability, or limited ability, to perform, and restore missions/business functions in the future</t>
  </si>
  <si>
    <t>Inability, or limited ability, to perform missions/business functions in the future with sufficient confidence and/or correctness</t>
  </si>
  <si>
    <t>Inability, or limited ability, to perform missions/business functions in the future within planned resource constraints</t>
  </si>
  <si>
    <t>Harms with applicable laws or regulations</t>
  </si>
  <si>
    <t>Harms with contractual requirements or other requirements in other binding agreements</t>
  </si>
  <si>
    <t>Direct financial costs</t>
  </si>
  <si>
    <t>Damage to trust relationships</t>
  </si>
  <si>
    <t xml:space="preserve">Damage to image or reputation </t>
  </si>
  <si>
    <t>HARM TO ASSETS</t>
  </si>
  <si>
    <t>Damage to or loss of physical facilities</t>
  </si>
  <si>
    <t>Damage to or loss of information systems or networks</t>
  </si>
  <si>
    <t>Damage to or loss of information technology or equipment</t>
  </si>
  <si>
    <t>Damage to or loss of component parts or supplies</t>
  </si>
  <si>
    <t>Damage to or of loss of information assets</t>
  </si>
  <si>
    <t>Loss of intellectual property</t>
  </si>
  <si>
    <t>HARM TO INDIVIDUALS</t>
  </si>
  <si>
    <t>Injury or loss of life</t>
  </si>
  <si>
    <t>Physical or psychological mistreatment</t>
  </si>
  <si>
    <t>Identity theft</t>
  </si>
  <si>
    <t>Loss of Personally Identifiable Information</t>
  </si>
  <si>
    <t>Damage to image or reputation</t>
  </si>
  <si>
    <t>HARM TO OTHER ORGANIZATIONS</t>
  </si>
  <si>
    <t xml:space="preserve"> Damage to trust relationships</t>
  </si>
  <si>
    <t xml:space="preserve"> Damage to reputation</t>
  </si>
  <si>
    <t>HARM TO THE NATION</t>
  </si>
  <si>
    <t>Damage to or incapacitation of a critical infrastructure sector</t>
  </si>
  <si>
    <t>Loss of government continuity of operations</t>
  </si>
  <si>
    <t xml:space="preserve"> Damage to trust relationships with other governments or with nongovernmental entities</t>
  </si>
  <si>
    <t xml:space="preserve">Damage to national reputation </t>
  </si>
  <si>
    <t>Damage to current or future ability to achieve national objectives - Harm to national security</t>
  </si>
  <si>
    <t>Threat Event
 Source of Information</t>
  </si>
  <si>
    <t>Impact
 Affected Asset</t>
  </si>
  <si>
    <t>05 to 20</t>
  </si>
  <si>
    <t>The adversary uses publicly available information to target a class of high-value organizations or information, and seeks targets of opportunity within that class</t>
  </si>
  <si>
    <t>The effects of the error, accident, or act of nature are extensive, involving most of the cyber resources of the [Tier 3: information systems; Tier 2: mission/business processes or EA segments, common infrastructure, or support services; Tier 1: organization/governance structure], including many critical resources.</t>
  </si>
  <si>
    <t>The effects of the error, accident, or act of nature are minimal, involving few if any of the cyber resources of the [Tier 3: information systems; Tier 2: mission/business processes or EA segments, common infrastructure, or support services; Tier 1: organization/governance structure], and involving no critical resources.</t>
  </si>
  <si>
    <t>The adversary has a very sophisticated level of expertise, is well-resourced, and can generate opportunities to support multiple successful, continuous, and coordinated attacks.</t>
  </si>
  <si>
    <t>The adversary seeks to undermine/impede critical aspects of a core mission or business function, program, or enterprise, or place itself in a position to do so in the future, by maintaining a presence in the organization’s information systems or infrastructure. The adversary is very concerned about minimizing attack detection/disclosure of tradecraft, particularly while preparing for future attacks.</t>
  </si>
  <si>
    <t>The adversary seeks to obtain or modify specific critical or sensitive information or usurp/disrupt the organization’s cyber resources by establishing a foothold in the organization’s information systems or infrastructure. The adversary is concerned about minimizing attack detection/disclosure of tradecraft, particularly when carrying out attacks over long time periods. The adversary is willing to impede aspects of the organization’s missions/business functions to achieve these ends.</t>
  </si>
  <si>
    <t xml:space="preserve">The adversary actively seeks to obtain critical or sensitive information or to usurp/disrupt the organization’s cyber resources, and does so without concern about attack detection/disclosure of tradecraft. </t>
  </si>
  <si>
    <t>The vulnerability is of high concern, based on the exposure of the vulnerability and ease of exploitation and/or on the severity of impacts that could result from its exploitation.
Relevant security control or other remediation is planned but not implemented; compensating controls are in place and at least minimally effective.</t>
  </si>
  <si>
    <t>Source  Type</t>
  </si>
  <si>
    <t>Characteristics</t>
  </si>
  <si>
    <t>Associated Vulns</t>
  </si>
  <si>
    <t>TS1</t>
  </si>
  <si>
    <t>TS2</t>
  </si>
  <si>
    <t>TS3</t>
  </si>
  <si>
    <t>Discovery Date</t>
  </si>
  <si>
    <t xml:space="preserve"> Affected Versions</t>
  </si>
  <si>
    <t>Attack Vector</t>
  </si>
  <si>
    <t>Impact Type</t>
  </si>
  <si>
    <t>Redirect victims to malicious websites via HTML injection</t>
  </si>
  <si>
    <t>An attacker exploits the HTML injection vulnerability in Zoom's display name field to embed malicious links. When victims interact with these links, they are redirected to malicious websites, potentially exposing them to phishing attacks or malware.</t>
  </si>
  <si>
    <t>An attacker exploits a STUN parsing vulnerability by sending malformed UDP packets to Zoom clients, causing the application to crash and resulting in a denial-of-service condition.</t>
  </si>
  <si>
    <t>Exploit local privilege escalation to delete critical files</t>
  </si>
  <si>
    <t>An attacker exploits a local privilege escalation vulnerability in Zoom's installer repair process to gain elevated privileges. This allows them to delete critical system-level files or folders, potentially compromising the system's integrity and availability, leading to crashes or service disruptions.</t>
  </si>
  <si>
    <t>Exploit path traversal to execute unintended files</t>
  </si>
  <si>
    <t>A malicious actor uses improperly verified installer files to deliver unauthorized software, leveraging .msi, .ps1, and .bat extensions. The attack impacts system integrity by introducing malicious components into the installation process, potentially leading to further exploitation or system compromise.</t>
  </si>
  <si>
    <t>Confidentiality, Integrity, Availability</t>
  </si>
  <si>
    <t>Exploit local privilege escalation via installer scripts</t>
  </si>
  <si>
    <t>This threat involves leveraging improperly secured installer scripts to execute arbitrary commands with elevated privileges. An attacker with local access can exploit writable directories or misconfigured scripts during the installation process to gain higher-level access, potentially compromising system integrity and security.</t>
  </si>
  <si>
    <t>The control is highly effective, fully implemented, and mitigates the risk comprehensively, leaving negligible residual risk.</t>
  </si>
  <si>
    <t>The control is effective, well-implemented, and addresses most risk scenarios, with only minor gaps or residual risks remaining.</t>
  </si>
  <si>
    <t>The control is partially effective, mitigating some risks but leaving significant gaps in coverage or inconsistent implementation, resulting in moderate residual risk.</t>
  </si>
  <si>
    <t>The control is minimally effective, covering only a small portion of the risk scenarios, with major gaps in coverage or poor implementation, leaving high residual risk.</t>
  </si>
  <si>
    <t>The control is ineffective, not implemented, or completely absent, leaving the risk unmitigated and fully exposed.</t>
  </si>
  <si>
    <t>Control Effectiveness</t>
  </si>
  <si>
    <t>Residual Risk</t>
  </si>
  <si>
    <t>Assessment Table</t>
  </si>
  <si>
    <t xml:space="preserve">Non-Adversarial Risk </t>
  </si>
  <si>
    <t>Non-Adversarial</t>
  </si>
  <si>
    <t>Integrity, Availability</t>
  </si>
  <si>
    <t>VID-001</t>
  </si>
  <si>
    <t>VID-004</t>
  </si>
  <si>
    <t>TS4</t>
  </si>
  <si>
    <t>VID-007</t>
  </si>
  <si>
    <t>TS5</t>
  </si>
  <si>
    <t>VID-003</t>
  </si>
  <si>
    <t>TS6</t>
  </si>
  <si>
    <t>VID-005</t>
  </si>
  <si>
    <t>Threat Source Catalog</t>
  </si>
  <si>
    <t>VID-008</t>
  </si>
  <si>
    <t>VID-009</t>
  </si>
  <si>
    <t>VID-010</t>
  </si>
  <si>
    <t>TS7</t>
  </si>
  <si>
    <t>VID-002</t>
  </si>
  <si>
    <t>VID-006</t>
  </si>
  <si>
    <t>SC-7,AC-4,CM-7,RA-5,SI-4</t>
  </si>
  <si>
    <t>SC-7,SC-12,SC-13</t>
  </si>
  <si>
    <t>SC-7-SC-21,AC-4</t>
  </si>
  <si>
    <t>SC-5,SC-7,SC-6,SI-4</t>
  </si>
  <si>
    <t>SC-18,SC-19,SC-20,SC-21</t>
  </si>
  <si>
    <t>AC-3,AC-4,SC-7</t>
  </si>
  <si>
    <t>SC-12,SC-13,AC-3</t>
  </si>
  <si>
    <t>SC-7,SI-4,AC-3</t>
  </si>
  <si>
    <t>ID-001</t>
  </si>
  <si>
    <t>Zone Transfer Allowed (DNS Discovery)</t>
  </si>
  <si>
    <t>DNS servers (corpweb.g5.local)</t>
  </si>
  <si>
    <t>Network (External)</t>
  </si>
  <si>
    <t>Misconfigured Internet-Facing Systems</t>
  </si>
  <si>
    <t>Unauthorized or misconfigured systems are exposed to the Internet, allowing attackers to exploit them for access or pivoting.</t>
  </si>
  <si>
    <t>Externally exposed servers, proxies</t>
  </si>
  <si>
    <t>Proxy Without TLS (Unencrypted Traffic)</t>
  </si>
  <si>
    <t>Proxy allows plain HTTP connections. Adversaries can sniff or modify traffic, steal logins, and hijack sessions.</t>
  </si>
  <si>
    <t>Reverse proxy, web applications</t>
  </si>
  <si>
    <t>Insecure Internal Services</t>
  </si>
  <si>
    <t>Internal servers</t>
  </si>
  <si>
    <t>Network (Internal)</t>
  </si>
  <si>
    <t>Unpatched servers, apps</t>
  </si>
  <si>
    <t>Network (External/Internal)</t>
  </si>
  <si>
    <t>Network (Internal/External)</t>
  </si>
  <si>
    <t>Denial of Service (DoS)</t>
  </si>
  <si>
    <t>Reverse proxy, DNS, web servers</t>
  </si>
  <si>
    <t>Availability (Primary), Confidentiality/Integrity (Secondary)</t>
  </si>
  <si>
    <t>Public web servers</t>
  </si>
  <si>
    <t>Web/Application Layer</t>
  </si>
  <si>
    <t>Partial Service Exposure (Backends on Port 80)</t>
  </si>
  <si>
    <t>Backend services run on port 80 behind the proxy. If the proxy misroutes traffic, attackers could reach backends directly in clear-text.</t>
  </si>
  <si>
    <t>Data Exfiltration (No Container Egress Limits)</t>
  </si>
  <si>
    <t>Containers can make unrestricted outbound connections. If compromised, they could exfiltrate data or connect to attacker servers.</t>
  </si>
  <si>
    <t>Containerized applications</t>
  </si>
  <si>
    <t>External services can be overwhelmed with traffic, making them unavailable or slow for legitimate users.</t>
  </si>
  <si>
    <t>Web Defacement (Missing Security Headers)</t>
  </si>
  <si>
    <t>Public-facing web apps lack basic headers (CSP, X-Frame, HSTS). This allows attacks like clickjacking, XSS, or defacement that impact site integrity and user trust.</t>
  </si>
  <si>
    <t>Internal services (SSH) are exposed or misconfigured, enabling lateral movement and privilege escalation.</t>
  </si>
  <si>
    <t>Single Point of Failure in AD/DNS</t>
  </si>
  <si>
    <t>Active Directory also runs DNS. If the AD VM fails, both authentication and DNS resolution will stop. This disrupts logins and makes services unreachable via FQDN</t>
  </si>
  <si>
    <t>Active Directory Security Weakness</t>
  </si>
  <si>
    <t>Without LDAPS, credentials travel in plaintext, allowing attackers to sniff traffic and steal hashes.</t>
  </si>
  <si>
    <t>DNS servers allow unauthorized  zone transfers, exposing hostnames and IPs. Adversaries can perform reconnaissance to map the network and plan attacks.</t>
  </si>
  <si>
    <t>DNS reconnaissance and weak external services</t>
  </si>
  <si>
    <t>Poor DNS hardening (zone transfers) and exposed services give attackers mapping and intrusion vectors</t>
  </si>
  <si>
    <t>Weak encryption and insecure proxy configs</t>
  </si>
  <si>
    <t>Unencrypted HTTP traffic can be sniffed or hijacked; proxy flaws expose backend systems</t>
  </si>
  <si>
    <t>Exploiting weak/misconfigured internal services</t>
  </si>
  <si>
    <t>Attackers leverage exposed SSH or backend flaws for lateral movement and privilege escalation</t>
  </si>
  <si>
    <t>Service dependency / infrastructure single points of failure</t>
  </si>
  <si>
    <t>Failures in AD/DNS create cascading outages that disrupt authentication and resolution</t>
  </si>
  <si>
    <t>Data exfiltration via container misuse</t>
  </si>
  <si>
    <t>Lack of outbound filtering allows compromised containers to beacon or exfiltrate sensitive data</t>
  </si>
  <si>
    <t>Disruption of service availability</t>
  </si>
  <si>
    <t>Adversaries flood services to cause outages or degrade performance (DoS)</t>
  </si>
  <si>
    <t>Exploitation of weak web security controls</t>
  </si>
  <si>
    <t>Missing headers allow defacement, clickjacking, or XSS that undermines site integrity</t>
  </si>
  <si>
    <t>VID-001, VID-002</t>
  </si>
  <si>
    <t>VID-003, VID-007</t>
  </si>
  <si>
    <t>VID-004, VID-006</t>
  </si>
  <si>
    <t>Non-Adversial</t>
  </si>
  <si>
    <t>System</t>
  </si>
  <si>
    <t>AD VM, DNS</t>
  </si>
  <si>
    <t>Local/System Dependency</t>
  </si>
  <si>
    <t>AD, LDAP Kerberos</t>
  </si>
  <si>
    <t>CP-10, SC-22, SC-24</t>
  </si>
  <si>
    <t>STUDENT NAMES: AYAAN, CHINAZO, SHIZA AND THURUVAN</t>
  </si>
  <si>
    <t>AC-6, IA-2, SC-12, SC-13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</si>
</sst>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Aptos Narrow"/>
      <family val="2"/>
      <scheme val="minor"/>
    </font>
    <font>
      <b/>
      <sz val="11"/>
      <color rgb="FFFA7D00"/>
      <name val="Aptos Narrow"/>
      <family val="2"/>
      <scheme val="minor"/>
    </font>
    <font>
      <b/>
      <sz val="14"/>
      <color rgb="FF3F3F3F"/>
      <name val="Aptos Narrow"/>
      <family val="2"/>
      <scheme val="minor"/>
    </font>
    <font>
      <sz val="18"/>
      <color theme="1"/>
      <name val="Aptos Narrow"/>
      <family val="2"/>
      <scheme val="minor"/>
    </font>
    <font>
      <sz val="8"/>
      <name val="Aptos Narrow"/>
      <family val="2"/>
      <scheme val="minor"/>
    </font>
    <font>
      <b/>
      <sz val="14"/>
      <color theme="0"/>
      <name val="Aptos Narrow"/>
      <family val="2"/>
      <scheme val="minor"/>
    </font>
    <font>
      <sz val="26"/>
      <color rgb="FF156082"/>
      <name val="Aptos Narrow"/>
      <family val="2"/>
      <scheme val="minor"/>
    </font>
    <font>
      <b/>
      <sz val="16"/>
      <color theme="1"/>
      <name val="Aptos Narrow"/>
      <family val="2"/>
      <scheme val="minor"/>
    </font>
    <font>
      <b/>
      <sz val="11"/>
      <color rgb="FF3F3F3F"/>
      <name val="Aptos Narrow"/>
      <family val="2"/>
      <scheme val="minor"/>
    </font>
    <font>
      <b/>
      <sz val="15"/>
      <color theme="0"/>
      <name val="Arial"/>
      <family val="2"/>
    </font>
    <font>
      <sz val="11"/>
      <color theme="1"/>
      <name val="Arial"/>
      <family val="2"/>
    </font>
    <font>
      <b/>
      <sz val="12"/>
      <color theme="0"/>
      <name val="Arial"/>
      <family val="2"/>
    </font>
    <font>
      <b/>
      <sz val="18"/>
      <color theme="0"/>
      <name val="Arial"/>
      <family val="2"/>
    </font>
    <font>
      <b/>
      <sz val="12"/>
      <name val="Arial"/>
      <family val="2"/>
    </font>
    <font>
      <sz val="15"/>
      <color theme="0"/>
      <name val="Arial"/>
      <family val="2"/>
    </font>
    <font>
      <b/>
      <sz val="14"/>
      <color theme="0"/>
      <name val="Arial"/>
      <family val="2"/>
    </font>
    <font>
      <sz val="14"/>
      <color theme="1"/>
      <name val="Arial"/>
      <family val="2"/>
    </font>
    <font>
      <b/>
      <sz val="14"/>
      <color theme="1"/>
      <name val="Arial"/>
      <family val="2"/>
    </font>
    <font>
      <b/>
      <sz val="13"/>
      <color theme="0"/>
      <name val="Arial"/>
      <family val="2"/>
    </font>
    <font>
      <i/>
      <sz val="11"/>
      <color theme="0"/>
      <name val="Arial"/>
      <family val="2"/>
    </font>
    <font>
      <b/>
      <sz val="11"/>
      <name val="Arial"/>
      <family val="2"/>
    </font>
    <font>
      <sz val="14"/>
      <color theme="1"/>
      <name val="Aptos Narrow"/>
      <family val="2"/>
      <scheme val="minor"/>
    </font>
    <font>
      <sz val="12"/>
      <color theme="1"/>
      <name val="Arial"/>
      <family val="2"/>
    </font>
    <font>
      <b/>
      <sz val="12"/>
      <color rgb="FF3F3F3F"/>
      <name val="Arial"/>
      <family val="2"/>
    </font>
    <font>
      <sz val="12"/>
      <color theme="0"/>
      <name val="Arial"/>
      <family val="2"/>
    </font>
    <font>
      <sz val="12"/>
      <color theme="1"/>
      <name val="Aptos Narrow"/>
      <family val="2"/>
      <scheme val="minor"/>
    </font>
    <font>
      <b/>
      <sz val="12"/>
      <color theme="1"/>
      <name val="Arial"/>
      <family val="2"/>
    </font>
    <font>
      <sz val="12"/>
      <color rgb="FF000000"/>
      <name val="Arial"/>
      <family val="2"/>
    </font>
    <font>
      <b/>
      <sz val="11"/>
      <color theme="1"/>
      <name val="Aptos Narrow"/>
      <family val="2"/>
      <scheme val="minor"/>
    </font>
    <font>
      <b/>
      <sz val="11"/>
      <color theme="0"/>
      <name val="Arial"/>
      <family val="2"/>
    </font>
    <font>
      <b/>
      <sz val="15"/>
      <color theme="1"/>
      <name val="Arial"/>
      <family val="2"/>
    </font>
  </fonts>
  <fills count="11">
    <fill>
      <patternFill patternType="none"/>
    </fill>
    <fill>
      <patternFill patternType="gray125"/>
    </fill>
    <fill>
      <patternFill patternType="solid">
        <fgColor rgb="FFF2F2F2"/>
      </patternFill>
    </fill>
    <fill>
      <patternFill patternType="solid">
        <fgColor theme="0"/>
        <bgColor indexed="64"/>
      </patternFill>
    </fill>
    <fill>
      <gradientFill degree="90">
        <stop position="0">
          <color theme="2"/>
        </stop>
        <stop position="1">
          <color theme="1"/>
        </stop>
      </gradientFill>
    </fill>
    <fill>
      <patternFill patternType="solid">
        <fgColor theme="2" tint="-0.24994659260841701"/>
        <bgColor auto="1"/>
      </patternFill>
    </fill>
    <fill>
      <gradientFill degree="90">
        <stop position="0">
          <color theme="0"/>
        </stop>
        <stop position="1">
          <color theme="1"/>
        </stop>
      </gradientFill>
    </fill>
    <fill>
      <gradientFill degree="90">
        <stop position="0">
          <color theme="2"/>
        </stop>
        <stop position="1">
          <color theme="2" tint="-9.8025452436902985E-2"/>
        </stop>
      </gradientFill>
    </fill>
    <fill>
      <patternFill patternType="solid">
        <fgColor theme="0"/>
        <bgColor auto="1"/>
      </patternFill>
    </fill>
    <fill>
      <patternFill patternType="solid">
        <fgColor theme="0" tint="-0.14999847407452621"/>
        <bgColor theme="0" tint="-0.14999847407452621"/>
      </patternFill>
    </fill>
    <fill>
      <patternFill patternType="solid">
        <fgColor theme="2"/>
        <bgColor theme="1"/>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rgb="FF3F3F3F"/>
      </left>
      <right/>
      <top style="thin">
        <color rgb="FF3F3F3F"/>
      </top>
      <bottom style="thin">
        <color rgb="FF3F3F3F"/>
      </bottom>
      <diagonal/>
    </border>
    <border>
      <left/>
      <right style="thin">
        <color theme="0"/>
      </right>
      <top style="thin">
        <color theme="0"/>
      </top>
      <bottom/>
      <diagonal/>
    </border>
    <border>
      <left style="thin">
        <color theme="0"/>
      </left>
      <right style="thin">
        <color theme="0"/>
      </right>
      <top style="thin">
        <color theme="0"/>
      </top>
      <bottom/>
      <diagonal/>
    </border>
    <border>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style="thin">
        <color rgb="FF7F7F7F"/>
      </left>
      <right style="thin">
        <color rgb="FF7F7F7F"/>
      </right>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1"/>
      </top>
      <bottom style="thin">
        <color theme="1"/>
      </bottom>
      <diagonal/>
    </border>
    <border>
      <left style="thin">
        <color theme="1"/>
      </left>
      <right/>
      <top style="thin">
        <color theme="1"/>
      </top>
      <bottom style="thin">
        <color theme="1"/>
      </bottom>
      <diagonal/>
    </border>
    <border>
      <left/>
      <right/>
      <top/>
      <bottom style="thin">
        <color theme="5" tint="0.39997558519241921"/>
      </bottom>
      <diagonal/>
    </border>
  </borders>
  <cellStyleXfs count="4">
    <xf numFmtId="0" fontId="0" fillId="0" borderId="0"/>
    <xf numFmtId="0" fontId="1" fillId="2" borderId="1" applyNumberFormat="0" applyAlignment="0" applyProtection="0"/>
    <xf numFmtId="0" fontId="2" fillId="3" borderId="2" applyBorder="0">
      <alignment horizontal="center"/>
    </xf>
    <xf numFmtId="0" fontId="8" fillId="2" borderId="13" applyNumberFormat="0" applyAlignment="0" applyProtection="0"/>
  </cellStyleXfs>
  <cellXfs count="102">
    <xf numFmtId="0" fontId="0" fillId="0" borderId="0" xfId="0"/>
    <xf numFmtId="0" fontId="0" fillId="0" borderId="0" xfId="0" applyAlignment="1">
      <alignment horizontal="center"/>
    </xf>
    <xf numFmtId="0" fontId="0" fillId="0" borderId="0" xfId="0" applyAlignment="1">
      <alignment wrapText="1"/>
    </xf>
    <xf numFmtId="0" fontId="10" fillId="0" borderId="0" xfId="0" applyFont="1" applyAlignment="1">
      <alignment horizontal="center" vertical="center"/>
    </xf>
    <xf numFmtId="0" fontId="10" fillId="0" borderId="0" xfId="0" applyFont="1"/>
    <xf numFmtId="0" fontId="16" fillId="0" borderId="0" xfId="0" applyFont="1" applyAlignment="1">
      <alignment horizontal="center" vertical="center" wrapText="1"/>
    </xf>
    <xf numFmtId="0" fontId="10" fillId="4" borderId="0" xfId="0" applyFont="1" applyFill="1"/>
    <xf numFmtId="0" fontId="10" fillId="0" borderId="0" xfId="0" applyFont="1" applyAlignment="1">
      <alignment horizontal="center"/>
    </xf>
    <xf numFmtId="0" fontId="11" fillId="4" borderId="0" xfId="0" applyFont="1" applyFill="1" applyAlignment="1">
      <alignment horizontal="center" vertical="center"/>
    </xf>
    <xf numFmtId="0" fontId="11" fillId="4" borderId="0" xfId="0" applyFont="1" applyFill="1" applyAlignment="1">
      <alignment horizontal="center" vertical="center" wrapText="1"/>
    </xf>
    <xf numFmtId="0" fontId="0" fillId="8" borderId="0" xfId="0" applyFill="1"/>
    <xf numFmtId="0" fontId="10" fillId="0" borderId="0" xfId="0" applyFont="1" applyAlignment="1">
      <alignment horizontal="left" vertical="center" wrapText="1"/>
    </xf>
    <xf numFmtId="0" fontId="10" fillId="7" borderId="0" xfId="0" applyFont="1" applyFill="1" applyAlignment="1">
      <alignment horizontal="center" vertical="center"/>
    </xf>
    <xf numFmtId="0" fontId="10" fillId="4" borderId="0" xfId="0" applyFont="1" applyFill="1" applyAlignment="1">
      <alignment horizontal="center" vertical="center"/>
    </xf>
    <xf numFmtId="0" fontId="19" fillId="4" borderId="8" xfId="0" applyFont="1" applyFill="1" applyBorder="1" applyAlignment="1">
      <alignment horizontal="center" vertical="center"/>
    </xf>
    <xf numFmtId="0" fontId="19" fillId="4" borderId="9" xfId="0" applyFont="1" applyFill="1" applyBorder="1" applyAlignment="1">
      <alignment horizontal="center" vertical="center"/>
    </xf>
    <xf numFmtId="0" fontId="19" fillId="4" borderId="10" xfId="0" applyFont="1" applyFill="1" applyBorder="1" applyAlignment="1">
      <alignment horizontal="center" vertical="center"/>
    </xf>
    <xf numFmtId="0" fontId="20" fillId="2" borderId="12" xfId="1" applyFont="1" applyBorder="1"/>
    <xf numFmtId="0" fontId="20" fillId="2" borderId="12" xfId="1" applyFont="1" applyBorder="1" applyAlignment="1">
      <alignment horizontal="center"/>
    </xf>
    <xf numFmtId="0" fontId="17" fillId="0" borderId="0" xfId="0" applyFont="1" applyAlignment="1">
      <alignment horizontal="center" vertical="center" wrapText="1"/>
    </xf>
    <xf numFmtId="0" fontId="16" fillId="0" borderId="0" xfId="0" applyFont="1" applyAlignment="1">
      <alignment horizontal="left" vertical="center" wrapText="1"/>
    </xf>
    <xf numFmtId="0" fontId="16" fillId="4" borderId="0" xfId="0" applyFont="1" applyFill="1"/>
    <xf numFmtId="0" fontId="22" fillId="0" borderId="0" xfId="0" applyFont="1" applyAlignment="1">
      <alignment horizontal="center"/>
    </xf>
    <xf numFmtId="0" fontId="22" fillId="0" borderId="0" xfId="0" applyFont="1"/>
    <xf numFmtId="0" fontId="22" fillId="0" borderId="0" xfId="0" applyFont="1" applyAlignment="1">
      <alignment horizontal="center" vertical="center"/>
    </xf>
    <xf numFmtId="0" fontId="22" fillId="0" borderId="0" xfId="0" applyFont="1" applyAlignment="1">
      <alignment wrapText="1"/>
    </xf>
    <xf numFmtId="0" fontId="22" fillId="0" borderId="0" xfId="0" applyFont="1" applyAlignment="1">
      <alignment vertical="top"/>
    </xf>
    <xf numFmtId="0" fontId="22" fillId="0" borderId="0" xfId="0" applyFont="1" applyAlignment="1">
      <alignment vertical="top" wrapText="1"/>
    </xf>
    <xf numFmtId="0" fontId="22" fillId="0" borderId="0" xfId="0" applyFont="1" applyAlignment="1">
      <alignment horizontal="center" vertical="top"/>
    </xf>
    <xf numFmtId="0" fontId="22" fillId="0" borderId="0" xfId="0" applyFont="1" applyAlignment="1">
      <alignment horizontal="left" vertical="top"/>
    </xf>
    <xf numFmtId="0" fontId="22" fillId="0" borderId="0" xfId="0" applyFont="1" applyAlignment="1">
      <alignment horizontal="left" vertical="top" wrapText="1"/>
    </xf>
    <xf numFmtId="0" fontId="22" fillId="4" borderId="0" xfId="0" applyFont="1" applyFill="1"/>
    <xf numFmtId="0" fontId="23" fillId="2" borderId="13" xfId="3" applyFont="1" applyAlignment="1">
      <alignment horizontal="center"/>
    </xf>
    <xf numFmtId="0" fontId="24" fillId="5" borderId="0" xfId="0" applyFont="1" applyFill="1" applyAlignment="1">
      <alignment horizontal="center" vertical="center"/>
    </xf>
    <xf numFmtId="0" fontId="25" fillId="0" borderId="0" xfId="0" applyFont="1"/>
    <xf numFmtId="0" fontId="11" fillId="4" borderId="0" xfId="0" applyFont="1" applyFill="1" applyAlignment="1">
      <alignment horizontal="center"/>
    </xf>
    <xf numFmtId="0" fontId="11" fillId="6"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center" vertical="top"/>
    </xf>
    <xf numFmtId="0" fontId="22" fillId="0" borderId="0" xfId="0" applyFont="1" applyAlignment="1">
      <alignment horizontal="center" vertical="top" wrapText="1"/>
    </xf>
    <xf numFmtId="0" fontId="26" fillId="0" borderId="0" xfId="0" applyFont="1" applyAlignment="1">
      <alignment horizontal="center" vertical="top" wrapText="1"/>
    </xf>
    <xf numFmtId="0" fontId="24" fillId="4" borderId="0" xfId="0" applyFont="1" applyFill="1" applyAlignment="1">
      <alignment horizontal="center"/>
    </xf>
    <xf numFmtId="0" fontId="24" fillId="4" borderId="0" xfId="0" applyFont="1" applyFill="1" applyAlignment="1">
      <alignment horizontal="center" vertical="center"/>
    </xf>
    <xf numFmtId="0" fontId="27" fillId="0" borderId="0" xfId="0" applyFont="1" applyAlignment="1">
      <alignment horizontal="left" vertical="top" wrapText="1"/>
    </xf>
    <xf numFmtId="0" fontId="22" fillId="0" borderId="4" xfId="0" applyFont="1" applyBorder="1"/>
    <xf numFmtId="0" fontId="22" fillId="0" borderId="5" xfId="0" applyFont="1" applyBorder="1"/>
    <xf numFmtId="0" fontId="22" fillId="0" borderId="3" xfId="0" applyFont="1" applyBorder="1"/>
    <xf numFmtId="0" fontId="22" fillId="0" borderId="11" xfId="0" applyFont="1" applyBorder="1"/>
    <xf numFmtId="0" fontId="22" fillId="0" borderId="7" xfId="0" applyFont="1" applyBorder="1"/>
    <xf numFmtId="0" fontId="10" fillId="0" borderId="0" xfId="0" applyFont="1" applyAlignment="1">
      <alignment wrapText="1"/>
    </xf>
    <xf numFmtId="0" fontId="22" fillId="7" borderId="0" xfId="0" applyFont="1" applyFill="1" applyAlignment="1">
      <alignment horizontal="center" vertical="center"/>
    </xf>
    <xf numFmtId="0" fontId="22" fillId="4" borderId="0" xfId="0" applyFont="1" applyFill="1" applyAlignment="1">
      <alignment horizontal="center" vertical="center"/>
    </xf>
    <xf numFmtId="0" fontId="22" fillId="4" borderId="0" xfId="0" applyFont="1" applyFill="1" applyAlignment="1">
      <alignment horizontal="center" vertical="center" wrapText="1"/>
    </xf>
    <xf numFmtId="16" fontId="26" fillId="0" borderId="0" xfId="0" applyNumberFormat="1" applyFont="1" applyAlignment="1">
      <alignment horizontal="center" vertical="center"/>
    </xf>
    <xf numFmtId="0" fontId="11" fillId="4" borderId="0" xfId="0" applyFont="1" applyFill="1"/>
    <xf numFmtId="0" fontId="22" fillId="0" borderId="0" xfId="0" applyFont="1" applyAlignment="1">
      <alignment horizontal="left" vertical="center" wrapText="1"/>
    </xf>
    <xf numFmtId="0" fontId="26" fillId="0" borderId="0" xfId="0" applyFont="1"/>
    <xf numFmtId="0" fontId="11" fillId="4" borderId="0" xfId="0" applyFont="1" applyFill="1" applyAlignment="1">
      <alignment horizontal="center" vertical="top"/>
    </xf>
    <xf numFmtId="0" fontId="11" fillId="4" borderId="0" xfId="0" applyFont="1" applyFill="1" applyAlignment="1">
      <alignment horizontal="center" vertical="top" wrapText="1"/>
    </xf>
    <xf numFmtId="0" fontId="26" fillId="3" borderId="0" xfId="0" applyFont="1" applyFill="1" applyAlignment="1">
      <alignment horizontal="center" vertical="center"/>
    </xf>
    <xf numFmtId="16" fontId="26" fillId="0" borderId="0" xfId="0" applyNumberFormat="1" applyFont="1" applyAlignment="1">
      <alignment horizontal="center" vertical="top" wrapText="1"/>
    </xf>
    <xf numFmtId="0" fontId="21" fillId="0" borderId="0" xfId="0" applyFont="1" applyAlignment="1">
      <alignment wrapText="1"/>
    </xf>
    <xf numFmtId="0" fontId="0" fillId="0" borderId="0" xfId="0" applyAlignment="1">
      <alignment vertical="top" wrapText="1"/>
    </xf>
    <xf numFmtId="0" fontId="3" fillId="0" borderId="0" xfId="0" applyFont="1" applyAlignment="1">
      <alignment horizont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4" fillId="4" borderId="0" xfId="0" applyFont="1" applyFill="1" applyAlignment="1">
      <alignment horizontal="center" vertical="center" wrapText="1"/>
    </xf>
    <xf numFmtId="0" fontId="14" fillId="4" borderId="0" xfId="0" applyFont="1" applyFill="1" applyAlignment="1">
      <alignment horizontal="center" wrapText="1"/>
    </xf>
    <xf numFmtId="0" fontId="9" fillId="4" borderId="0" xfId="0" applyFont="1" applyFill="1" applyAlignment="1">
      <alignment horizontal="center" vertical="center" wrapText="1"/>
    </xf>
    <xf numFmtId="0" fontId="13" fillId="0" borderId="0" xfId="0" applyFont="1" applyAlignment="1">
      <alignment horizontal="center" vertical="center" wrapText="1"/>
    </xf>
    <xf numFmtId="0" fontId="0" fillId="0" borderId="0" xfId="0" applyAlignment="1">
      <alignment vertical="center" wrapText="1"/>
    </xf>
    <xf numFmtId="0" fontId="11" fillId="4" borderId="16" xfId="0" applyFont="1" applyFill="1" applyBorder="1" applyAlignment="1">
      <alignment horizontal="center" vertical="center" wrapText="1"/>
    </xf>
    <xf numFmtId="0" fontId="26" fillId="9" borderId="15" xfId="0" applyFont="1" applyFill="1" applyBorder="1" applyAlignment="1">
      <alignment horizontal="center" vertical="center"/>
    </xf>
    <xf numFmtId="0" fontId="26" fillId="0" borderId="15" xfId="0" applyFont="1" applyBorder="1" applyAlignment="1">
      <alignment horizontal="center" vertical="center"/>
    </xf>
    <xf numFmtId="0" fontId="26" fillId="9" borderId="14" xfId="0" applyFont="1" applyFill="1" applyBorder="1" applyAlignment="1">
      <alignment horizontal="center" vertical="center"/>
    </xf>
    <xf numFmtId="0" fontId="26" fillId="0" borderId="14" xfId="0" applyFont="1" applyBorder="1" applyAlignment="1">
      <alignment horizontal="center" vertical="center"/>
    </xf>
    <xf numFmtId="0" fontId="13" fillId="10" borderId="15" xfId="0" applyFont="1" applyFill="1" applyBorder="1" applyAlignment="1">
      <alignment horizontal="center" vertical="center"/>
    </xf>
    <xf numFmtId="0" fontId="13" fillId="9" borderId="0" xfId="0" applyFont="1" applyFill="1" applyAlignment="1">
      <alignment horizontal="center" vertical="center" wrapText="1"/>
    </xf>
    <xf numFmtId="0" fontId="0" fillId="4" borderId="0" xfId="0" applyFill="1"/>
    <xf numFmtId="0" fontId="16" fillId="4" borderId="0" xfId="0" applyFont="1" applyFill="1" applyAlignment="1">
      <alignment horizontal="left" vertical="center"/>
    </xf>
    <xf numFmtId="0" fontId="28" fillId="0" borderId="0" xfId="0" applyFont="1" applyAlignment="1">
      <alignment vertical="center" wrapText="1"/>
    </xf>
    <xf numFmtId="0" fontId="30" fillId="0" borderId="0" xfId="0" applyFont="1" applyAlignment="1">
      <alignment horizontal="center" vertical="center" wrapText="1"/>
    </xf>
    <xf numFmtId="14" fontId="0" fillId="0" borderId="0" xfId="0" applyNumberFormat="1" applyAlignment="1">
      <alignment vertical="center" wrapText="1"/>
    </xf>
    <xf numFmtId="0" fontId="29" fillId="4" borderId="0" xfId="0" applyFont="1" applyFill="1" applyAlignment="1">
      <alignment horizontal="center"/>
    </xf>
    <xf numFmtId="0" fontId="15" fillId="4" borderId="0" xfId="0" applyFont="1" applyFill="1" applyAlignment="1">
      <alignment horizontal="center" wrapText="1"/>
    </xf>
    <xf numFmtId="0" fontId="0" fillId="0" borderId="0" xfId="0" applyAlignment="1">
      <alignment horizontal="center" vertical="top" wrapText="1"/>
    </xf>
    <xf numFmtId="0" fontId="5" fillId="4" borderId="0" xfId="0" applyFont="1" applyFill="1" applyAlignment="1">
      <alignment horizontal="center" vertical="center" wrapText="1"/>
    </xf>
    <xf numFmtId="0" fontId="12" fillId="4" borderId="0" xfId="0" applyFont="1" applyFill="1" applyAlignment="1">
      <alignment horizontal="center" wrapText="1"/>
    </xf>
    <xf numFmtId="0" fontId="7" fillId="0" borderId="0" xfId="0" applyFont="1" applyAlignment="1">
      <alignment horizontal="center" wrapText="1"/>
    </xf>
    <xf numFmtId="0" fontId="6" fillId="0" borderId="0" xfId="0" applyFont="1" applyAlignment="1">
      <alignment horizontal="center" wrapText="1"/>
    </xf>
    <xf numFmtId="0" fontId="11" fillId="6" borderId="0" xfId="0" applyFont="1" applyFill="1" applyAlignment="1">
      <alignment horizontal="center" vertical="center" wrapText="1"/>
    </xf>
    <xf numFmtId="0" fontId="11" fillId="4" borderId="0" xfId="0" applyFont="1" applyFill="1" applyAlignment="1">
      <alignment horizontal="center"/>
    </xf>
    <xf numFmtId="0" fontId="11" fillId="4" borderId="0" xfId="0" applyFont="1" applyFill="1" applyAlignment="1">
      <alignment horizontal="center" vertical="center"/>
    </xf>
    <xf numFmtId="0" fontId="18" fillId="4" borderId="6" xfId="0" applyFont="1" applyFill="1" applyBorder="1" applyAlignment="1">
      <alignment horizontal="center" vertical="center"/>
    </xf>
    <xf numFmtId="0" fontId="18" fillId="4" borderId="0" xfId="0" applyFont="1" applyFill="1" applyAlignment="1">
      <alignment horizontal="center" vertical="center"/>
    </xf>
    <xf numFmtId="0" fontId="18" fillId="4" borderId="7" xfId="0" applyFont="1" applyFill="1" applyBorder="1" applyAlignment="1">
      <alignment horizontal="center" vertical="center"/>
    </xf>
    <xf numFmtId="0" fontId="18" fillId="4" borderId="0" xfId="0" applyFont="1" applyFill="1" applyAlignment="1">
      <alignment horizontal="center"/>
    </xf>
    <xf numFmtId="0" fontId="24" fillId="4" borderId="0" xfId="0" applyFont="1" applyFill="1" applyAlignment="1">
      <alignment horizontal="center"/>
    </xf>
    <xf numFmtId="0" fontId="11" fillId="4" borderId="0" xfId="0" applyFont="1" applyFill="1" applyAlignment="1">
      <alignment horizontal="center" wrapText="1"/>
    </xf>
    <xf numFmtId="0" fontId="11" fillId="4" borderId="0" xfId="0" applyFont="1" applyFill="1" applyAlignment="1">
      <alignment horizontal="center" vertical="top"/>
    </xf>
  </cellXfs>
  <cellStyles count="4">
    <cellStyle name="Calculation" xfId="1" builtinId="22"/>
    <cellStyle name="Normal" xfId="0" builtinId="0"/>
    <cellStyle name="Output" xfId="3" builtinId="21"/>
    <cellStyle name="Style 1" xfId="2" xr:uid="{716A4970-9B04-4E83-97C0-AC955196509C}"/>
  </cellStyles>
  <dxfs count="472">
    <dxf>
      <fill>
        <patternFill>
          <bgColor rgb="FFFDA963"/>
        </patternFill>
      </fill>
    </dxf>
    <dxf>
      <fill>
        <patternFill>
          <bgColor rgb="FFFF4B4B"/>
        </patternFill>
      </fill>
    </dxf>
    <dxf>
      <fill>
        <patternFill>
          <bgColor rgb="FFFFFF99"/>
        </patternFill>
      </fill>
    </dxf>
    <dxf>
      <fill>
        <patternFill>
          <bgColor theme="9" tint="-0.24994659260841701"/>
        </patternFill>
      </fill>
    </dxf>
    <dxf>
      <fill>
        <patternFill>
          <bgColor rgb="FF00B050"/>
        </patternFill>
      </fill>
    </dxf>
    <dxf>
      <fill>
        <patternFill>
          <bgColor theme="9" tint="0.59996337778862885"/>
        </patternFill>
      </fill>
    </dxf>
    <dxf>
      <fill>
        <patternFill>
          <bgColor rgb="FFFFFF00"/>
        </patternFill>
      </fill>
    </dxf>
    <dxf>
      <fill>
        <patternFill patternType="solid">
          <fgColor auto="1"/>
          <bgColor rgb="FFFA0000"/>
        </patternFill>
      </fill>
    </dxf>
    <dxf>
      <fill>
        <gradientFill degree="90">
          <stop position="0">
            <color theme="0"/>
          </stop>
          <stop position="1">
            <color rgb="FFFF0000"/>
          </stop>
        </gradientFill>
      </fill>
    </dxf>
    <dxf>
      <fill>
        <patternFill>
          <bgColor rgb="FFC00000"/>
        </patternFill>
      </fill>
    </dxf>
    <dxf>
      <fill>
        <patternFill>
          <bgColor rgb="FFCCFF99"/>
        </patternFill>
      </fill>
    </dxf>
    <dxf>
      <fill>
        <patternFill>
          <bgColor rgb="FFFF5353"/>
        </patternFill>
      </fill>
    </dxf>
    <dxf>
      <fill>
        <patternFill>
          <bgColor rgb="FF99CC00"/>
        </patternFill>
      </fill>
    </dxf>
    <dxf>
      <fill>
        <patternFill>
          <bgColor rgb="FF92D050"/>
        </patternFill>
      </fill>
    </dxf>
    <dxf>
      <fill>
        <patternFill>
          <bgColor theme="5"/>
        </patternFill>
      </fill>
    </dxf>
    <dxf>
      <fill>
        <patternFill>
          <bgColor rgb="FFFF0000"/>
        </patternFill>
      </fill>
    </dxf>
    <dxf>
      <fill>
        <patternFill>
          <bgColor rgb="FFFFFF00"/>
        </patternFill>
      </fill>
    </dxf>
    <dxf>
      <fill>
        <patternFill>
          <bgColor rgb="FF00B050"/>
        </patternFill>
      </fill>
    </dxf>
    <dxf>
      <fill>
        <gradientFill degree="90">
          <stop position="0">
            <color theme="2"/>
          </stop>
          <stop position="1">
            <color rgb="FFC00000"/>
          </stop>
        </gradientFill>
      </fill>
    </dxf>
    <dxf>
      <fill>
        <gradientFill degree="90">
          <stop position="0">
            <color theme="2"/>
          </stop>
          <stop position="1">
            <color rgb="FFFF0000"/>
          </stop>
        </gradientFill>
      </fill>
    </dxf>
    <dxf>
      <fill>
        <gradientFill degree="90">
          <stop position="0">
            <color theme="2"/>
          </stop>
          <stop position="1">
            <color theme="9" tint="-0.25098422193060094"/>
          </stop>
        </gradientFill>
      </fill>
    </dxf>
    <dxf>
      <fill>
        <gradientFill degree="90">
          <stop position="0">
            <color theme="2"/>
          </stop>
          <stop position="1">
            <color rgb="FFFFC000"/>
          </stop>
        </gradientFill>
      </fill>
    </dxf>
    <dxf>
      <fill>
        <gradientFill degree="90">
          <stop position="0">
            <color theme="2"/>
          </stop>
          <stop position="1">
            <color rgb="FF92D050"/>
          </stop>
        </gradientFill>
      </fill>
    </dxf>
    <dxf>
      <fill>
        <gradientFill degree="90">
          <stop position="0">
            <color theme="2"/>
          </stop>
          <stop position="1">
            <color theme="9" tint="-0.25098422193060094"/>
          </stop>
        </gradientFill>
      </fill>
    </dxf>
    <dxf>
      <fill>
        <gradientFill degree="90">
          <stop position="0">
            <color theme="2"/>
          </stop>
          <stop position="1">
            <color rgb="FFC00000"/>
          </stop>
        </gradientFill>
      </fill>
    </dxf>
    <dxf>
      <fill>
        <gradientFill degree="90">
          <stop position="0">
            <color theme="2"/>
          </stop>
          <stop position="1">
            <color rgb="FFFF0000"/>
          </stop>
        </gradientFill>
      </fill>
    </dxf>
    <dxf>
      <fill>
        <gradientFill degree="90">
          <stop position="0">
            <color theme="2"/>
          </stop>
          <stop position="1">
            <color rgb="FF92D050"/>
          </stop>
        </gradientFill>
      </fill>
    </dxf>
    <dxf>
      <fill>
        <gradientFill degree="90">
          <stop position="0">
            <color theme="2"/>
          </stop>
          <stop position="1">
            <color theme="9" tint="-0.25098422193060094"/>
          </stop>
        </gradientFill>
      </fill>
    </dxf>
    <dxf>
      <fill>
        <gradientFill degree="90">
          <stop position="0">
            <color theme="2"/>
          </stop>
          <stop position="1">
            <color rgb="FFFFC000"/>
          </stop>
        </gradientFill>
      </fill>
    </dxf>
    <dxf>
      <fill>
        <gradientFill degree="90">
          <stop position="0">
            <color theme="0"/>
          </stop>
          <stop position="1">
            <color rgb="FFFF0000"/>
          </stop>
        </gradientFill>
      </fill>
    </dxf>
    <dxf>
      <fill>
        <gradientFill degree="90">
          <stop position="0">
            <color theme="2"/>
          </stop>
          <stop position="1">
            <color rgb="FFC00000"/>
          </stop>
        </gradientFill>
      </fill>
    </dxf>
    <dxf>
      <fill>
        <gradientFill degree="90">
          <stop position="0">
            <color theme="2"/>
          </stop>
          <stop position="1">
            <color rgb="FFFFFF00"/>
          </stop>
        </gradientFill>
      </fill>
    </dxf>
    <dxf>
      <fill>
        <gradientFill degree="90">
          <stop position="0">
            <color theme="2"/>
          </stop>
          <stop position="1">
            <color rgb="FF92D050"/>
          </stop>
        </gradientFill>
      </fill>
    </dxf>
    <dxf>
      <fill>
        <gradientFill degree="90">
          <stop position="0">
            <color theme="2"/>
          </stop>
          <stop position="1">
            <color rgb="FFFFFF00"/>
          </stop>
        </gradientFill>
      </fill>
    </dxf>
    <dxf>
      <fill>
        <gradientFill degree="90">
          <stop position="0">
            <color theme="2"/>
          </stop>
          <stop position="1">
            <color rgb="FFFF0000"/>
          </stop>
        </gradientFill>
      </fill>
    </dxf>
    <dxf>
      <fill>
        <gradientFill degree="90">
          <stop position="0">
            <color theme="2"/>
          </stop>
          <stop position="1">
            <color rgb="FFC00000"/>
          </stop>
        </gradientFill>
      </fill>
    </dxf>
    <dxf>
      <fill>
        <gradientFill degree="90">
          <stop position="0">
            <color theme="2"/>
          </stop>
          <stop position="1">
            <color rgb="FF92D050"/>
          </stop>
        </gradientFill>
      </fill>
    </dxf>
    <dxf>
      <fill>
        <gradientFill degree="90">
          <stop position="0">
            <color theme="2"/>
          </stop>
          <stop position="1">
            <color theme="9"/>
          </stop>
        </gradientFill>
      </fill>
    </dxf>
    <dxf>
      <fill>
        <gradientFill degree="90">
          <stop position="0">
            <color theme="2"/>
          </stop>
          <stop position="1">
            <color theme="9" tint="-0.25098422193060094"/>
          </stop>
        </gradientFill>
      </fill>
    </dxf>
    <dxf>
      <fill>
        <gradientFill degree="90">
          <stop position="0">
            <color theme="2"/>
          </stop>
          <stop position="1">
            <color rgb="FFFFC000"/>
          </stop>
        </gradientFill>
      </fill>
    </dxf>
    <dxf>
      <fill>
        <patternFill>
          <bgColor rgb="FF00B050"/>
        </patternFill>
      </fill>
    </dxf>
    <dxf>
      <fill>
        <patternFill>
          <bgColor theme="9" tint="-0.24994659260841701"/>
        </patternFill>
      </fill>
    </dxf>
    <dxf>
      <fill>
        <patternFill>
          <bgColor theme="9" tint="0.59996337778862885"/>
        </patternFill>
      </fill>
    </dxf>
    <dxf>
      <fill>
        <patternFill>
          <bgColor rgb="FFFFFF00"/>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rgb="FFFFFF99"/>
        </patternFill>
      </fill>
    </dxf>
    <dxf>
      <fill>
        <patternFill>
          <bgColor rgb="FFCCFF99"/>
        </patternFill>
      </fill>
    </dxf>
    <dxf>
      <fill>
        <patternFill>
          <bgColor rgb="FFFF5353"/>
        </patternFill>
      </fill>
    </dxf>
    <dxf>
      <fill>
        <patternFill>
          <bgColor rgb="FFFF4B4B"/>
        </patternFill>
      </fill>
    </dxf>
    <dxf>
      <fill>
        <patternFill>
          <bgColor rgb="FFFDA963"/>
        </patternFill>
      </fill>
    </dxf>
    <dxf>
      <fill>
        <patternFill>
          <bgColor rgb="FF99CC00"/>
        </patternFill>
      </fill>
    </dxf>
    <dxf>
      <fill>
        <patternFill>
          <bgColor theme="9" tint="0.59996337778862885"/>
        </patternFill>
      </fill>
    </dxf>
    <dxf>
      <fill>
        <patternFill>
          <bgColor theme="9" tint="-0.24994659260841701"/>
        </patternFill>
      </fill>
    </dxf>
    <dxf>
      <fill>
        <patternFill>
          <bgColor rgb="FF00B050"/>
        </patternFill>
      </fill>
    </dxf>
    <dxf>
      <fill>
        <patternFill>
          <bgColor rgb="FFFFFF99"/>
        </patternFill>
      </fill>
    </dxf>
    <dxf>
      <fill>
        <patternFill>
          <bgColor rgb="FFFDA963"/>
        </patternFill>
      </fill>
    </dxf>
    <dxf>
      <fill>
        <patternFill>
          <bgColor rgb="FFFF5353"/>
        </patternFill>
      </fill>
    </dxf>
    <dxf>
      <fill>
        <patternFill>
          <bgColor rgb="FFCCFF99"/>
        </patternFill>
      </fill>
    </dxf>
    <dxf>
      <fill>
        <patternFill>
          <bgColor rgb="FF99CC00"/>
        </patternFill>
      </fill>
    </dxf>
    <dxf>
      <fill>
        <patternFill>
          <bgColor rgb="FFFF4B4B"/>
        </patternFill>
      </fill>
    </dxf>
    <dxf>
      <fill>
        <gradientFill degree="90">
          <stop position="0">
            <color theme="0"/>
          </stop>
          <stop position="1">
            <color rgb="FFFF0000"/>
          </stop>
        </gradientFill>
      </fill>
    </dxf>
    <dxf>
      <fill>
        <patternFill patternType="solid">
          <fgColor auto="1"/>
          <bgColor rgb="FFFA0000"/>
        </patternFill>
      </fill>
    </dxf>
    <dxf>
      <fill>
        <patternFill>
          <bgColor rgb="FFC00000"/>
        </patternFill>
      </fill>
    </dxf>
    <dxf>
      <fill>
        <patternFill>
          <bgColor rgb="FFFFFF00"/>
        </patternFill>
      </fill>
    </dxf>
    <dxf>
      <fill>
        <patternFill>
          <bgColor rgb="FF99CC00"/>
        </patternFill>
      </fill>
    </dxf>
    <dxf>
      <fill>
        <patternFill>
          <bgColor rgb="FFCCFF99"/>
        </patternFill>
      </fill>
    </dxf>
    <dxf>
      <fill>
        <patternFill>
          <bgColor rgb="FFFFFF99"/>
        </patternFill>
      </fill>
    </dxf>
    <dxf>
      <fill>
        <gradientFill degree="90">
          <stop position="0">
            <color theme="0"/>
          </stop>
          <stop position="1">
            <color rgb="FFFF0000"/>
          </stop>
        </gradientFill>
      </fill>
    </dxf>
    <dxf>
      <fill>
        <patternFill>
          <bgColor rgb="FFFFFF00"/>
        </patternFill>
      </fill>
    </dxf>
    <dxf>
      <fill>
        <patternFill patternType="solid">
          <fgColor auto="1"/>
          <bgColor rgb="FFFA0000"/>
        </patternFill>
      </fill>
    </dxf>
    <dxf>
      <fill>
        <patternFill>
          <bgColor rgb="FFC00000"/>
        </patternFill>
      </fill>
    </dxf>
    <dxf>
      <fill>
        <patternFill>
          <bgColor rgb="FF00B050"/>
        </patternFill>
      </fill>
    </dxf>
    <dxf>
      <fill>
        <patternFill>
          <bgColor theme="9" tint="-0.24994659260841701"/>
        </patternFill>
      </fill>
    </dxf>
    <dxf>
      <fill>
        <patternFill>
          <bgColor theme="9" tint="0.59996337778862885"/>
        </patternFill>
      </fill>
    </dxf>
    <dxf>
      <fill>
        <patternFill>
          <bgColor rgb="FFFF4B4B"/>
        </patternFill>
      </fill>
    </dxf>
    <dxf>
      <fill>
        <patternFill>
          <bgColor rgb="FFFDA963"/>
        </patternFill>
      </fill>
    </dxf>
    <dxf>
      <fill>
        <patternFill>
          <bgColor rgb="FFFF5353"/>
        </patternFill>
      </fill>
    </dxf>
    <dxf>
      <fill>
        <gradientFill degree="90">
          <stop position="0">
            <color theme="0"/>
          </stop>
          <stop position="1">
            <color rgb="FFFF0000"/>
          </stop>
        </gradientFill>
      </fill>
    </dxf>
    <dxf>
      <fill>
        <patternFill>
          <bgColor rgb="FFCCFF99"/>
        </patternFill>
      </fill>
    </dxf>
    <dxf>
      <fill>
        <patternFill>
          <bgColor rgb="FFFDA963"/>
        </patternFill>
      </fill>
    </dxf>
    <dxf>
      <fill>
        <patternFill>
          <bgColor rgb="FF99CC00"/>
        </patternFill>
      </fill>
    </dxf>
    <dxf>
      <fill>
        <patternFill>
          <bgColor rgb="FFFFFF99"/>
        </patternFill>
      </fill>
    </dxf>
    <dxf>
      <fill>
        <patternFill>
          <bgColor rgb="FF00B050"/>
        </patternFill>
      </fill>
    </dxf>
    <dxf>
      <fill>
        <patternFill>
          <bgColor theme="9" tint="-0.24994659260841701"/>
        </patternFill>
      </fill>
    </dxf>
    <dxf>
      <fill>
        <patternFill>
          <bgColor rgb="FFFF5353"/>
        </patternFill>
      </fill>
    </dxf>
    <dxf>
      <fill>
        <patternFill>
          <bgColor theme="9" tint="0.59996337778862885"/>
        </patternFill>
      </fill>
    </dxf>
    <dxf>
      <fill>
        <patternFill>
          <bgColor rgb="FFFFFF00"/>
        </patternFill>
      </fill>
    </dxf>
    <dxf>
      <fill>
        <patternFill>
          <bgColor rgb="FFC00000"/>
        </patternFill>
      </fill>
    </dxf>
    <dxf>
      <fill>
        <patternFill patternType="solid">
          <fgColor auto="1"/>
          <bgColor rgb="FFFA0000"/>
        </patternFill>
      </fill>
    </dxf>
    <dxf>
      <fill>
        <patternFill>
          <bgColor rgb="FFFF4B4B"/>
        </patternFill>
      </fill>
    </dxf>
    <dxf>
      <fill>
        <patternFill>
          <bgColor rgb="FFFF4B4B"/>
        </patternFill>
      </fill>
    </dxf>
    <dxf>
      <fill>
        <patternFill>
          <bgColor rgb="FFFFFF99"/>
        </patternFill>
      </fill>
    </dxf>
    <dxf>
      <fill>
        <patternFill>
          <bgColor rgb="FF00B050"/>
        </patternFill>
      </fill>
    </dxf>
    <dxf>
      <fill>
        <patternFill>
          <bgColor theme="9" tint="-0.24994659260841701"/>
        </patternFill>
      </fill>
    </dxf>
    <dxf>
      <fill>
        <patternFill>
          <bgColor theme="9" tint="0.59996337778862885"/>
        </patternFill>
      </fill>
    </dxf>
    <dxf>
      <fill>
        <patternFill>
          <bgColor rgb="FFFFFF00"/>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rgb="FF99CC00"/>
        </patternFill>
      </fill>
    </dxf>
    <dxf>
      <fill>
        <patternFill>
          <bgColor rgb="FFCCFF99"/>
        </patternFill>
      </fill>
    </dxf>
    <dxf>
      <fill>
        <patternFill>
          <bgColor rgb="FFFF5353"/>
        </patternFill>
      </fill>
    </dxf>
    <dxf>
      <fill>
        <patternFill>
          <bgColor rgb="FFFDA963"/>
        </patternFill>
      </fill>
    </dxf>
    <dxf>
      <fill>
        <patternFill>
          <bgColor rgb="FFFF5353"/>
        </patternFill>
      </fill>
    </dxf>
    <dxf>
      <fill>
        <patternFill>
          <bgColor rgb="FFFDA963"/>
        </patternFill>
      </fill>
    </dxf>
    <dxf>
      <fill>
        <patternFill>
          <bgColor rgb="FFFFFF99"/>
        </patternFill>
      </fill>
    </dxf>
    <dxf>
      <fill>
        <patternFill>
          <bgColor rgb="FF00B050"/>
        </patternFill>
      </fill>
    </dxf>
    <dxf>
      <fill>
        <patternFill>
          <bgColor theme="9" tint="-0.24994659260841701"/>
        </patternFill>
      </fill>
    </dxf>
    <dxf>
      <fill>
        <patternFill>
          <bgColor theme="9" tint="0.59996337778862885"/>
        </patternFill>
      </fill>
    </dxf>
    <dxf>
      <fill>
        <patternFill>
          <bgColor rgb="FFFFFF00"/>
        </patternFill>
      </fill>
    </dxf>
    <dxf>
      <fill>
        <patternFill>
          <bgColor rgb="FFC00000"/>
        </patternFill>
      </fill>
    </dxf>
    <dxf>
      <fill>
        <patternFill patternType="solid">
          <fgColor auto="1"/>
          <bgColor rgb="FFFA0000"/>
        </patternFill>
      </fill>
    </dxf>
    <dxf>
      <fill>
        <patternFill>
          <bgColor rgb="FFFF4B4B"/>
        </patternFill>
      </fill>
    </dxf>
    <dxf>
      <fill>
        <patternFill>
          <bgColor rgb="FF99CC00"/>
        </patternFill>
      </fill>
    </dxf>
    <dxf>
      <fill>
        <patternFill>
          <bgColor rgb="FFCCFF99"/>
        </patternFill>
      </fill>
    </dxf>
    <dxf>
      <fill>
        <gradientFill degree="90">
          <stop position="0">
            <color theme="0"/>
          </stop>
          <stop position="1">
            <color rgb="FFFF0000"/>
          </stop>
        </gradientFill>
      </fill>
    </dxf>
    <dxf>
      <fill>
        <patternFill>
          <bgColor rgb="FFC00000"/>
        </patternFill>
      </fill>
    </dxf>
    <dxf>
      <fill>
        <patternFill>
          <bgColor rgb="FFFFFF00"/>
        </patternFill>
      </fill>
    </dxf>
    <dxf>
      <fill>
        <patternFill>
          <bgColor theme="9" tint="0.59996337778862885"/>
        </patternFill>
      </fill>
    </dxf>
    <dxf>
      <fill>
        <patternFill>
          <bgColor theme="9" tint="-0.24994659260841701"/>
        </patternFill>
      </fill>
    </dxf>
    <dxf>
      <fill>
        <patternFill patternType="solid">
          <fgColor auto="1"/>
          <bgColor rgb="FFFA0000"/>
        </patternFill>
      </fill>
    </dxf>
    <dxf>
      <fill>
        <patternFill>
          <bgColor rgb="FF00B050"/>
        </patternFill>
      </fill>
    </dxf>
    <dxf>
      <fill>
        <patternFill>
          <bgColor rgb="FFFFFF99"/>
        </patternFill>
      </fill>
    </dxf>
    <dxf>
      <fill>
        <patternFill>
          <bgColor rgb="FFFF4B4B"/>
        </patternFill>
      </fill>
    </dxf>
    <dxf>
      <fill>
        <patternFill>
          <bgColor rgb="FFFDA963"/>
        </patternFill>
      </fill>
    </dxf>
    <dxf>
      <fill>
        <patternFill>
          <bgColor rgb="FFFF5353"/>
        </patternFill>
      </fill>
    </dxf>
    <dxf>
      <fill>
        <patternFill>
          <bgColor rgb="FFCCFF99"/>
        </patternFill>
      </fill>
    </dxf>
    <dxf>
      <fill>
        <patternFill>
          <bgColor rgb="FF99CC00"/>
        </patternFill>
      </fill>
    </dxf>
    <dxf>
      <fill>
        <gradientFill degree="90">
          <stop position="0">
            <color theme="0"/>
          </stop>
          <stop position="1">
            <color rgb="FFFF0000"/>
          </stop>
        </gradientFill>
      </fill>
    </dxf>
    <dxf>
      <fill>
        <patternFill>
          <bgColor rgb="FF99CC00"/>
        </patternFill>
      </fill>
    </dxf>
    <dxf>
      <fill>
        <patternFill>
          <bgColor rgb="FFCCFF99"/>
        </patternFill>
      </fill>
    </dxf>
    <dxf>
      <fill>
        <patternFill>
          <bgColor rgb="FFFF5353"/>
        </patternFill>
      </fill>
    </dxf>
    <dxf>
      <fill>
        <patternFill>
          <bgColor rgb="FFFDA963"/>
        </patternFill>
      </fill>
    </dxf>
    <dxf>
      <fill>
        <patternFill>
          <bgColor rgb="FFFF4B4B"/>
        </patternFill>
      </fill>
    </dxf>
    <dxf>
      <fill>
        <patternFill>
          <bgColor rgb="FFFFFF99"/>
        </patternFill>
      </fill>
    </dxf>
    <dxf>
      <fill>
        <patternFill>
          <bgColor rgb="FF00B050"/>
        </patternFill>
      </fill>
    </dxf>
    <dxf>
      <fill>
        <patternFill>
          <bgColor theme="9" tint="0.59996337778862885"/>
        </patternFill>
      </fill>
    </dxf>
    <dxf>
      <fill>
        <patternFill>
          <bgColor rgb="FFFFFF00"/>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theme="9" tint="-0.24994659260841701"/>
        </patternFill>
      </fill>
    </dxf>
    <dxf>
      <fill>
        <patternFill>
          <bgColor rgb="FFFDA963"/>
        </patternFill>
      </fill>
    </dxf>
    <dxf>
      <fill>
        <patternFill>
          <bgColor rgb="FFFF4B4B"/>
        </patternFill>
      </fill>
    </dxf>
    <dxf>
      <fill>
        <patternFill>
          <bgColor rgb="FFFFFF99"/>
        </patternFill>
      </fill>
    </dxf>
    <dxf>
      <fill>
        <patternFill>
          <bgColor rgb="FF00B050"/>
        </patternFill>
      </fill>
    </dxf>
    <dxf>
      <fill>
        <patternFill>
          <bgColor theme="9" tint="-0.24994659260841701"/>
        </patternFill>
      </fill>
    </dxf>
    <dxf>
      <fill>
        <patternFill>
          <bgColor rgb="FFFFFF00"/>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rgb="FF99CC00"/>
        </patternFill>
      </fill>
    </dxf>
    <dxf>
      <fill>
        <patternFill>
          <bgColor rgb="FFCCFF99"/>
        </patternFill>
      </fill>
    </dxf>
    <dxf>
      <fill>
        <patternFill>
          <bgColor rgb="FFFF5353"/>
        </patternFill>
      </fill>
    </dxf>
    <dxf>
      <fill>
        <patternFill>
          <bgColor theme="9" tint="0.59996337778862885"/>
        </patternFill>
      </fill>
    </dxf>
    <dxf>
      <fill>
        <patternFill>
          <bgColor rgb="FFFDA963"/>
        </patternFill>
      </fill>
    </dxf>
    <dxf>
      <fill>
        <patternFill>
          <bgColor rgb="FF00B050"/>
        </patternFill>
      </fill>
    </dxf>
    <dxf>
      <fill>
        <patternFill>
          <bgColor rgb="FFFF5353"/>
        </patternFill>
      </fill>
    </dxf>
    <dxf>
      <fill>
        <patternFill>
          <bgColor rgb="FFCCFF99"/>
        </patternFill>
      </fill>
    </dxf>
    <dxf>
      <fill>
        <patternFill>
          <bgColor rgb="FF99CC00"/>
        </patternFill>
      </fill>
    </dxf>
    <dxf>
      <fill>
        <patternFill>
          <bgColor rgb="FFFFFF99"/>
        </patternFill>
      </fill>
    </dxf>
    <dxf>
      <fill>
        <patternFill>
          <bgColor theme="9" tint="-0.24994659260841701"/>
        </patternFill>
      </fill>
    </dxf>
    <dxf>
      <fill>
        <patternFill>
          <bgColor theme="9" tint="0.59996337778862885"/>
        </patternFill>
      </fill>
    </dxf>
    <dxf>
      <fill>
        <patternFill>
          <bgColor rgb="FFFFFF00"/>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rgb="FFFF4B4B"/>
        </patternFill>
      </fill>
    </dxf>
    <dxf>
      <fill>
        <patternFill>
          <bgColor rgb="FFFFFF00"/>
        </patternFill>
      </fill>
    </dxf>
    <dxf>
      <fill>
        <patternFill>
          <bgColor theme="9" tint="0.59996337778862885"/>
        </patternFill>
      </fill>
    </dxf>
    <dxf>
      <fill>
        <patternFill>
          <bgColor theme="9" tint="-0.24994659260841701"/>
        </patternFill>
      </fill>
    </dxf>
    <dxf>
      <fill>
        <patternFill>
          <bgColor rgb="FF00B050"/>
        </patternFill>
      </fill>
    </dxf>
    <dxf>
      <fill>
        <patternFill>
          <bgColor rgb="FFFFFF99"/>
        </patternFill>
      </fill>
    </dxf>
    <dxf>
      <fill>
        <patternFill>
          <bgColor rgb="FFFF4B4B"/>
        </patternFill>
      </fill>
    </dxf>
    <dxf>
      <fill>
        <patternFill>
          <bgColor rgb="FFFDA963"/>
        </patternFill>
      </fill>
    </dxf>
    <dxf>
      <fill>
        <patternFill>
          <bgColor rgb="FFFF5353"/>
        </patternFill>
      </fill>
    </dxf>
    <dxf>
      <fill>
        <patternFill>
          <bgColor rgb="FFCCFF99"/>
        </patternFill>
      </fill>
    </dxf>
    <dxf>
      <fill>
        <patternFill>
          <bgColor rgb="FF99CC00"/>
        </patternFill>
      </fill>
    </dxf>
    <dxf>
      <fill>
        <gradientFill degree="90">
          <stop position="0">
            <color theme="0"/>
          </stop>
          <stop position="1">
            <color rgb="FFFF0000"/>
          </stop>
        </gradientFill>
      </fill>
    </dxf>
    <dxf>
      <fill>
        <patternFill patternType="solid">
          <fgColor auto="1"/>
          <bgColor rgb="FFFA0000"/>
        </patternFill>
      </fill>
    </dxf>
    <dxf>
      <fill>
        <patternFill>
          <bgColor rgb="FFC00000"/>
        </patternFill>
      </fill>
    </dxf>
    <dxf>
      <fill>
        <gradientFill degree="90">
          <stop position="0">
            <color theme="0"/>
          </stop>
          <stop position="1">
            <color rgb="FFFF0000"/>
          </stop>
        </gradientFill>
      </fill>
    </dxf>
    <dxf>
      <fill>
        <patternFill patternType="solid">
          <fgColor auto="1"/>
          <bgColor rgb="FFFA0000"/>
        </patternFill>
      </fill>
    </dxf>
    <dxf>
      <fill>
        <patternFill>
          <bgColor rgb="FFC00000"/>
        </patternFill>
      </fill>
    </dxf>
    <dxf>
      <fill>
        <patternFill>
          <bgColor rgb="FFFDA963"/>
        </patternFill>
      </fill>
    </dxf>
    <dxf>
      <fill>
        <patternFill>
          <bgColor rgb="FFCCFF99"/>
        </patternFill>
      </fill>
    </dxf>
    <dxf>
      <fill>
        <patternFill>
          <bgColor theme="9" tint="0.59996337778862885"/>
        </patternFill>
      </fill>
    </dxf>
    <dxf>
      <fill>
        <patternFill>
          <bgColor rgb="FF99CC00"/>
        </patternFill>
      </fill>
    </dxf>
    <dxf>
      <fill>
        <patternFill>
          <bgColor theme="9" tint="-0.24994659260841701"/>
        </patternFill>
      </fill>
    </dxf>
    <dxf>
      <fill>
        <patternFill>
          <bgColor rgb="FF00B050"/>
        </patternFill>
      </fill>
    </dxf>
    <dxf>
      <fill>
        <patternFill>
          <bgColor rgb="FFFFFF00"/>
        </patternFill>
      </fill>
    </dxf>
    <dxf>
      <fill>
        <patternFill>
          <bgColor rgb="FFFFFF99"/>
        </patternFill>
      </fill>
    </dxf>
    <dxf>
      <fill>
        <patternFill>
          <bgColor rgb="FFFF4B4B"/>
        </patternFill>
      </fill>
    </dxf>
    <dxf>
      <fill>
        <patternFill>
          <bgColor rgb="FFFF5353"/>
        </patternFill>
      </fill>
    </dxf>
    <dxf>
      <fill>
        <patternFill>
          <bgColor rgb="FFFFFF00"/>
        </patternFill>
      </fill>
    </dxf>
    <dxf>
      <fill>
        <patternFill>
          <bgColor theme="9" tint="0.59996337778862885"/>
        </patternFill>
      </fill>
    </dxf>
    <dxf>
      <fill>
        <patternFill>
          <bgColor theme="9" tint="-0.24994659260841701"/>
        </patternFill>
      </fill>
    </dxf>
    <dxf>
      <fill>
        <patternFill>
          <bgColor rgb="FF00B050"/>
        </patternFill>
      </fill>
    </dxf>
    <dxf>
      <fill>
        <patternFill>
          <bgColor rgb="FFFFFF99"/>
        </patternFill>
      </fill>
    </dxf>
    <dxf>
      <fill>
        <gradientFill degree="90">
          <stop position="0">
            <color theme="0"/>
          </stop>
          <stop position="1">
            <color rgb="FFFF0000"/>
          </stop>
        </gradientFill>
      </fill>
    </dxf>
    <dxf>
      <fill>
        <patternFill patternType="solid">
          <fgColor auto="1"/>
          <bgColor rgb="FFFA0000"/>
        </patternFill>
      </fill>
    </dxf>
    <dxf>
      <fill>
        <patternFill>
          <bgColor rgb="FFC00000"/>
        </patternFill>
      </fill>
    </dxf>
    <dxf>
      <fill>
        <patternFill>
          <bgColor rgb="FFCCFF99"/>
        </patternFill>
      </fill>
    </dxf>
    <dxf>
      <fill>
        <patternFill>
          <bgColor rgb="FFFDA963"/>
        </patternFill>
      </fill>
    </dxf>
    <dxf>
      <fill>
        <patternFill>
          <bgColor rgb="FFFF4B4B"/>
        </patternFill>
      </fill>
    </dxf>
    <dxf>
      <fill>
        <patternFill>
          <bgColor rgb="FFFF5353"/>
        </patternFill>
      </fill>
    </dxf>
    <dxf>
      <fill>
        <patternFill>
          <bgColor rgb="FF00B050"/>
        </patternFill>
      </fill>
    </dxf>
    <dxf>
      <fill>
        <patternFill>
          <bgColor theme="9" tint="-0.24994659260841701"/>
        </patternFill>
      </fill>
    </dxf>
    <dxf>
      <fill>
        <patternFill>
          <bgColor theme="9" tint="0.59996337778862885"/>
        </patternFill>
      </fill>
    </dxf>
    <dxf>
      <fill>
        <patternFill>
          <bgColor rgb="FFFFFF00"/>
        </patternFill>
      </fill>
    </dxf>
    <dxf>
      <fill>
        <patternFill patternType="solid">
          <fgColor auto="1"/>
          <bgColor rgb="FFFA0000"/>
        </patternFill>
      </fill>
    </dxf>
    <dxf>
      <fill>
        <patternFill>
          <bgColor rgb="FFFFFF99"/>
        </patternFill>
      </fill>
    </dxf>
    <dxf>
      <fill>
        <patternFill>
          <bgColor rgb="FFC00000"/>
        </patternFill>
      </fill>
    </dxf>
    <dxf>
      <fill>
        <gradientFill degree="90">
          <stop position="0">
            <color theme="0"/>
          </stop>
          <stop position="1">
            <color rgb="FFFF0000"/>
          </stop>
        </gradientFill>
      </fill>
    </dxf>
    <dxf>
      <fill>
        <patternFill>
          <bgColor rgb="FFFFFF00"/>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rgb="FF99CC00"/>
        </patternFill>
      </fill>
    </dxf>
    <dxf>
      <fill>
        <patternFill>
          <bgColor rgb="FFCCFF99"/>
        </patternFill>
      </fill>
    </dxf>
    <dxf>
      <fill>
        <patternFill>
          <bgColor rgb="FFFF5353"/>
        </patternFill>
      </fill>
    </dxf>
    <dxf>
      <fill>
        <patternFill>
          <bgColor rgb="FFFDA963"/>
        </patternFill>
      </fill>
    </dxf>
    <dxf>
      <fill>
        <patternFill>
          <bgColor rgb="FFFF4B4B"/>
        </patternFill>
      </fill>
    </dxf>
    <dxf>
      <fill>
        <patternFill>
          <bgColor rgb="FFFFFF99"/>
        </patternFill>
      </fill>
    </dxf>
    <dxf>
      <fill>
        <patternFill>
          <bgColor rgb="FF00B050"/>
        </patternFill>
      </fill>
    </dxf>
    <dxf>
      <fill>
        <patternFill>
          <bgColor theme="9" tint="-0.24994659260841701"/>
        </patternFill>
      </fill>
    </dxf>
    <dxf>
      <fill>
        <patternFill>
          <bgColor theme="9" tint="0.59996337778862885"/>
        </patternFill>
      </fill>
    </dxf>
    <dxf>
      <fill>
        <gradientFill degree="90">
          <stop position="0">
            <color theme="0"/>
          </stop>
          <stop position="1">
            <color rgb="FFFF0000"/>
          </stop>
        </gradientFill>
      </fill>
    </dxf>
    <dxf>
      <fill>
        <patternFill patternType="solid">
          <fgColor auto="1"/>
          <bgColor rgb="FFFA0000"/>
        </patternFill>
      </fill>
    </dxf>
    <dxf>
      <fill>
        <patternFill>
          <bgColor rgb="FFC00000"/>
        </patternFill>
      </fill>
    </dxf>
    <dxf>
      <fill>
        <patternFill>
          <bgColor rgb="FFFFFF00"/>
        </patternFill>
      </fill>
    </dxf>
    <dxf>
      <fill>
        <patternFill>
          <bgColor theme="9" tint="0.59996337778862885"/>
        </patternFill>
      </fill>
    </dxf>
    <dxf>
      <fill>
        <patternFill>
          <bgColor theme="9" tint="-0.24994659260841701"/>
        </patternFill>
      </fill>
    </dxf>
    <dxf>
      <fill>
        <patternFill>
          <bgColor rgb="FF00B050"/>
        </patternFill>
      </fill>
    </dxf>
    <dxf>
      <fill>
        <patternFill>
          <bgColor rgb="FFFFFF99"/>
        </patternFill>
      </fill>
    </dxf>
    <dxf>
      <fill>
        <patternFill>
          <bgColor rgb="FFFDA963"/>
        </patternFill>
      </fill>
    </dxf>
    <dxf>
      <fill>
        <patternFill>
          <bgColor rgb="FFFF4B4B"/>
        </patternFill>
      </fill>
    </dxf>
    <dxf>
      <fill>
        <patternFill>
          <bgColor rgb="FF99CC00"/>
        </patternFill>
      </fill>
    </dxf>
    <dxf>
      <fill>
        <patternFill>
          <bgColor rgb="FFCCFF99"/>
        </patternFill>
      </fill>
    </dxf>
    <dxf>
      <fill>
        <patternFill>
          <bgColor rgb="FFFF5353"/>
        </patternFill>
      </fill>
    </dxf>
    <dxf>
      <fill>
        <patternFill>
          <bgColor rgb="FFFFFF99"/>
        </patternFill>
      </fill>
    </dxf>
    <dxf>
      <fill>
        <gradientFill degree="90">
          <stop position="0">
            <color theme="0"/>
          </stop>
          <stop position="1">
            <color rgb="FFFF0000"/>
          </stop>
        </gradientFill>
      </fill>
    </dxf>
    <dxf>
      <fill>
        <patternFill patternType="solid">
          <fgColor auto="1"/>
          <bgColor rgb="FFFA0000"/>
        </patternFill>
      </fill>
    </dxf>
    <dxf>
      <fill>
        <patternFill>
          <bgColor rgb="FFC00000"/>
        </patternFill>
      </fill>
    </dxf>
    <dxf>
      <fill>
        <patternFill>
          <bgColor rgb="FFFFFF00"/>
        </patternFill>
      </fill>
    </dxf>
    <dxf>
      <fill>
        <patternFill>
          <bgColor theme="9" tint="0.59996337778862885"/>
        </patternFill>
      </fill>
    </dxf>
    <dxf>
      <fill>
        <patternFill>
          <bgColor theme="9" tint="-0.24994659260841701"/>
        </patternFill>
      </fill>
    </dxf>
    <dxf>
      <fill>
        <patternFill>
          <bgColor rgb="FF00B050"/>
        </patternFill>
      </fill>
    </dxf>
    <dxf>
      <fill>
        <patternFill>
          <bgColor rgb="FF99CC00"/>
        </patternFill>
      </fill>
    </dxf>
    <dxf>
      <fill>
        <patternFill>
          <bgColor rgb="FF00B050"/>
        </patternFill>
      </fill>
    </dxf>
    <dxf>
      <fill>
        <patternFill>
          <bgColor theme="9" tint="0.59996337778862885"/>
        </patternFill>
      </fill>
    </dxf>
    <dxf>
      <fill>
        <patternFill>
          <bgColor rgb="FFFFFF00"/>
        </patternFill>
      </fill>
    </dxf>
    <dxf>
      <fill>
        <patternFill>
          <bgColor rgb="FFC00000"/>
        </patternFill>
      </fill>
    </dxf>
    <dxf>
      <fill>
        <gradientFill degree="90">
          <stop position="0">
            <color theme="0"/>
          </stop>
          <stop position="1">
            <color rgb="FFFF0000"/>
          </stop>
        </gradientFill>
      </fill>
    </dxf>
    <dxf>
      <fill>
        <patternFill>
          <bgColor theme="9" tint="-0.24994659260841701"/>
        </patternFill>
      </fill>
    </dxf>
    <dxf>
      <fill>
        <patternFill patternType="solid">
          <fgColor auto="1"/>
          <bgColor rgb="FFFA0000"/>
        </patternFill>
      </fill>
    </dxf>
    <dxf>
      <fill>
        <patternFill>
          <bgColor rgb="FFFFFF99"/>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rgb="FFFFFF99"/>
        </patternFill>
      </fill>
    </dxf>
    <dxf>
      <fill>
        <patternFill>
          <bgColor rgb="FFFF4B4B"/>
        </patternFill>
      </fill>
    </dxf>
    <dxf>
      <fill>
        <patternFill>
          <bgColor rgb="FFFDA963"/>
        </patternFill>
      </fill>
    </dxf>
    <dxf>
      <fill>
        <patternFill>
          <bgColor rgb="FF99CC00"/>
        </patternFill>
      </fill>
    </dxf>
    <dxf>
      <fill>
        <patternFill>
          <bgColor rgb="FFCCFF99"/>
        </patternFill>
      </fill>
    </dxf>
    <dxf>
      <fill>
        <patternFill>
          <bgColor theme="9" tint="-0.24994659260841701"/>
        </patternFill>
      </fill>
    </dxf>
    <dxf>
      <fill>
        <patternFill>
          <bgColor rgb="FFFF5353"/>
        </patternFill>
      </fill>
    </dxf>
    <dxf>
      <fill>
        <patternFill>
          <bgColor theme="9" tint="0.59996337778862885"/>
        </patternFill>
      </fill>
    </dxf>
    <dxf>
      <fill>
        <patternFill>
          <bgColor rgb="FF00B050"/>
        </patternFill>
      </fill>
    </dxf>
    <dxf>
      <fill>
        <patternFill>
          <bgColor rgb="FFFFFF00"/>
        </patternFill>
      </fill>
    </dxf>
    <dxf>
      <fill>
        <patternFill>
          <bgColor rgb="FF99CC00"/>
        </patternFill>
      </fill>
    </dxf>
    <dxf>
      <fill>
        <patternFill>
          <bgColor rgb="FFCCFF99"/>
        </patternFill>
      </fill>
    </dxf>
    <dxf>
      <fill>
        <patternFill>
          <bgColor rgb="FFFF5353"/>
        </patternFill>
      </fill>
    </dxf>
    <dxf>
      <fill>
        <patternFill>
          <bgColor rgb="FFFDA963"/>
        </patternFill>
      </fill>
    </dxf>
    <dxf>
      <fill>
        <patternFill>
          <bgColor rgb="FFFF4B4B"/>
        </patternFill>
      </fill>
    </dxf>
    <dxf>
      <fill>
        <patternFill>
          <bgColor rgb="FFFFFF99"/>
        </patternFill>
      </fill>
    </dxf>
    <dxf>
      <fill>
        <patternFill>
          <bgColor theme="9" tint="-0.24994659260841701"/>
        </patternFill>
      </fill>
    </dxf>
    <dxf>
      <fill>
        <patternFill>
          <bgColor rgb="FFC00000"/>
        </patternFill>
      </fill>
    </dxf>
    <dxf>
      <fill>
        <patternFill patternType="solid">
          <fgColor auto="1"/>
          <bgColor rgb="FFFA0000"/>
        </patternFill>
      </fill>
    </dxf>
    <dxf>
      <fill>
        <gradientFill degree="90">
          <stop position="0">
            <color theme="0"/>
          </stop>
          <stop position="1">
            <color rgb="FFFF0000"/>
          </stop>
        </gradientFill>
      </fill>
    </dxf>
    <dxf>
      <fill>
        <patternFill>
          <bgColor rgb="FFFFFF00"/>
        </patternFill>
      </fill>
    </dxf>
    <dxf>
      <fill>
        <patternFill>
          <bgColor rgb="FF00B050"/>
        </patternFill>
      </fill>
    </dxf>
    <dxf>
      <fill>
        <patternFill>
          <bgColor theme="9" tint="0.59996337778862885"/>
        </patternFill>
      </fill>
    </dxf>
    <dxf>
      <fill>
        <patternFill>
          <bgColor theme="9" tint="-0.24994659260841701"/>
        </patternFill>
      </fill>
    </dxf>
    <dxf>
      <fill>
        <patternFill>
          <bgColor rgb="FF00B050"/>
        </patternFill>
      </fill>
    </dxf>
    <dxf>
      <fill>
        <patternFill>
          <bgColor rgb="FFCCFF99"/>
        </patternFill>
      </fill>
    </dxf>
    <dxf>
      <fill>
        <gradientFill degree="90">
          <stop position="0">
            <color theme="0"/>
          </stop>
          <stop position="1">
            <color rgb="FFFF0000"/>
          </stop>
        </gradientFill>
      </fill>
    </dxf>
    <dxf>
      <fill>
        <patternFill>
          <bgColor rgb="FFFDA963"/>
        </patternFill>
      </fill>
    </dxf>
    <dxf>
      <fill>
        <patternFill>
          <bgColor rgb="FFFF4B4B"/>
        </patternFill>
      </fill>
    </dxf>
    <dxf>
      <fill>
        <patternFill>
          <bgColor rgb="FFFFFF99"/>
        </patternFill>
      </fill>
    </dxf>
    <dxf>
      <fill>
        <patternFill>
          <bgColor rgb="FFFF5353"/>
        </patternFill>
      </fill>
    </dxf>
    <dxf>
      <fill>
        <patternFill patternType="solid">
          <fgColor auto="1"/>
          <bgColor rgb="FFFA0000"/>
        </patternFill>
      </fill>
    </dxf>
    <dxf>
      <fill>
        <patternFill>
          <bgColor rgb="FFC00000"/>
        </patternFill>
      </fill>
    </dxf>
    <dxf>
      <fill>
        <patternFill>
          <bgColor rgb="FFFFFF00"/>
        </patternFill>
      </fill>
    </dxf>
    <dxf>
      <fill>
        <patternFill>
          <bgColor theme="9" tint="0.59996337778862885"/>
        </patternFill>
      </fill>
    </dxf>
    <dxf>
      <fill>
        <patternFill>
          <bgColor rgb="FF99CC00"/>
        </patternFill>
      </fill>
    </dxf>
    <dxf>
      <fill>
        <patternFill patternType="solid">
          <fgColor auto="1"/>
          <bgColor rgb="FFFA0000"/>
        </patternFill>
      </fill>
    </dxf>
    <dxf>
      <fill>
        <patternFill>
          <bgColor rgb="FFC00000"/>
        </patternFill>
      </fill>
    </dxf>
    <dxf>
      <fill>
        <patternFill>
          <bgColor rgb="FFFFFF00"/>
        </patternFill>
      </fill>
    </dxf>
    <dxf>
      <fill>
        <patternFill>
          <bgColor theme="9" tint="0.59996337778862885"/>
        </patternFill>
      </fill>
    </dxf>
    <dxf>
      <fill>
        <patternFill>
          <bgColor theme="9" tint="-0.24994659260841701"/>
        </patternFill>
      </fill>
    </dxf>
    <dxf>
      <fill>
        <patternFill>
          <bgColor rgb="FF00B050"/>
        </patternFill>
      </fill>
    </dxf>
    <dxf>
      <fill>
        <patternFill>
          <bgColor rgb="FFFFFF99"/>
        </patternFill>
      </fill>
    </dxf>
    <dxf>
      <fill>
        <gradientFill degree="90">
          <stop position="0">
            <color theme="0"/>
          </stop>
          <stop position="1">
            <color rgb="FFFF0000"/>
          </stop>
        </gradientFill>
      </fill>
    </dxf>
    <dxf>
      <font>
        <strike val="0"/>
        <outline val="0"/>
        <shadow val="0"/>
        <u val="none"/>
        <vertAlign val="baseline"/>
        <sz val="12"/>
        <color theme="1"/>
        <name val="Arial"/>
        <family val="2"/>
        <scheme val="none"/>
      </font>
      <alignment horizontal="center" vertical="top" textRotation="0" indent="0" justifyLastLine="0" shrinkToFit="0" readingOrder="0"/>
    </dxf>
    <dxf>
      <font>
        <strike val="0"/>
        <outline val="0"/>
        <shadow val="0"/>
        <u val="none"/>
        <vertAlign val="baseline"/>
        <sz val="12"/>
        <color theme="1"/>
        <name val="Arial"/>
        <family val="2"/>
        <scheme val="none"/>
      </font>
      <alignment horizontal="left" vertical="top" textRotation="0" indent="0" justifyLastLine="0" shrinkToFit="0" readingOrder="0"/>
    </dxf>
    <dxf>
      <font>
        <strike val="0"/>
        <outline val="0"/>
        <shadow val="0"/>
        <u val="none"/>
        <vertAlign val="baseline"/>
        <sz val="12"/>
        <color theme="1"/>
        <name val="Arial"/>
        <family val="2"/>
        <scheme val="none"/>
      </font>
      <alignment horizontal="center" vertical="top" textRotation="0" indent="0" justifyLastLine="0" shrinkToFit="0" readingOrder="0"/>
    </dxf>
    <dxf>
      <font>
        <strike val="0"/>
        <outline val="0"/>
        <shadow val="0"/>
        <u val="none"/>
        <vertAlign val="baseline"/>
        <sz val="12"/>
        <color theme="1"/>
        <name val="Arial"/>
        <family val="2"/>
        <scheme val="none"/>
      </font>
      <alignment horizontal="center" vertical="top" textRotation="0" indent="0" justifyLastLine="0" shrinkToFit="0" readingOrder="0"/>
    </dxf>
    <dxf>
      <font>
        <strike val="0"/>
        <outline val="0"/>
        <shadow val="0"/>
        <u val="none"/>
        <vertAlign val="baseline"/>
        <sz val="12"/>
        <name val="Arial"/>
        <family val="2"/>
        <scheme val="none"/>
      </font>
      <fill>
        <gradientFill degree="90">
          <stop position="0">
            <color theme="2"/>
          </stop>
          <stop position="1">
            <color theme="5"/>
          </stop>
        </gradientFill>
      </fill>
      <alignment horizontal="center" vertical="top" textRotation="0" indent="0" justifyLastLine="0" shrinkToFit="0" readingOrder="0"/>
    </dxf>
    <dxf>
      <font>
        <strike val="0"/>
        <outline val="0"/>
        <shadow val="0"/>
        <u val="none"/>
        <vertAlign val="baseline"/>
        <sz val="12"/>
        <color theme="1"/>
        <name val="Arial"/>
        <family val="2"/>
        <scheme val="none"/>
      </font>
      <alignment horizontal="general" vertical="top" textRotation="0" wrapText="1" indent="0" justifyLastLine="0" shrinkToFit="0" readingOrder="0"/>
    </dxf>
    <dxf>
      <font>
        <b/>
        <strike val="0"/>
        <outline val="0"/>
        <shadow val="0"/>
        <u val="none"/>
        <vertAlign val="baseline"/>
        <sz val="12"/>
        <color theme="1"/>
        <name val="Arial"/>
        <family val="2"/>
        <scheme val="none"/>
      </font>
      <alignment horizontal="center" vertical="top" textRotation="0" wrapText="0" indent="0" justifyLastLine="0" shrinkToFit="0" readingOrder="0"/>
    </dxf>
    <dxf>
      <font>
        <strike val="0"/>
        <outline val="0"/>
        <shadow val="0"/>
        <u val="none"/>
        <vertAlign val="baseline"/>
        <sz val="12"/>
        <color theme="1"/>
        <name val="Arial"/>
        <family val="2"/>
        <scheme val="none"/>
      </font>
      <alignment horizontal="center" vertical="top" textRotation="0" wrapText="0" indent="0" justifyLastLine="0" shrinkToFit="0" readingOrder="0"/>
    </dxf>
    <dxf>
      <font>
        <strike val="0"/>
        <outline val="0"/>
        <shadow val="0"/>
        <u val="none"/>
        <vertAlign val="baseline"/>
        <sz val="12"/>
        <color theme="1"/>
        <name val="Arial"/>
        <family val="2"/>
        <scheme val="none"/>
      </font>
      <alignment horizontal="center" vertical="top" textRotation="0" indent="0" justifyLastLine="0" shrinkToFit="0" readingOrder="0"/>
    </dxf>
    <dxf>
      <font>
        <strike val="0"/>
        <outline val="0"/>
        <shadow val="0"/>
        <u val="none"/>
        <vertAlign val="baseline"/>
        <sz val="12"/>
        <color theme="1"/>
        <name val="Arial"/>
        <family val="2"/>
        <scheme val="none"/>
      </font>
      <alignment vertical="top" textRotation="0" indent="0" justifyLastLine="0" shrinkToFit="0" readingOrder="0"/>
    </dxf>
    <dxf>
      <font>
        <b/>
        <strike val="0"/>
        <outline val="0"/>
        <shadow val="0"/>
        <u val="none"/>
        <vertAlign val="baseline"/>
        <sz val="12"/>
        <color theme="0"/>
        <name val="Arial"/>
        <family val="2"/>
        <scheme val="none"/>
      </font>
      <fill>
        <gradientFill degree="90">
          <stop position="0">
            <color theme="2"/>
          </stop>
          <stop position="1">
            <color theme="1"/>
          </stop>
        </gradientFill>
      </fill>
      <alignment horizontal="center" vertical="top" textRotation="0" indent="0" justifyLastLine="0" shrinkToFit="0" readingOrder="0"/>
    </dxf>
    <dxf>
      <font>
        <b val="0"/>
        <strike val="0"/>
        <outline val="0"/>
        <shadow val="0"/>
        <u val="none"/>
        <vertAlign val="baseline"/>
        <sz val="12"/>
        <name val="Arial"/>
        <family val="2"/>
        <scheme val="none"/>
      </font>
      <alignment vertical="center"/>
    </dxf>
    <dxf>
      <font>
        <b/>
        <strike val="0"/>
        <outline val="0"/>
        <shadow val="0"/>
        <u val="none"/>
        <vertAlign val="baseline"/>
        <sz val="12"/>
        <name val="Arial"/>
        <family val="2"/>
        <scheme val="none"/>
      </font>
      <alignment vertical="center"/>
    </dxf>
    <dxf>
      <font>
        <b/>
        <strike val="0"/>
        <outline val="0"/>
        <shadow val="0"/>
        <u val="none"/>
        <vertAlign val="baseline"/>
        <sz val="12"/>
        <name val="Arial"/>
        <family val="2"/>
        <scheme val="none"/>
      </font>
      <alignment vertical="center"/>
    </dxf>
    <dxf>
      <font>
        <b/>
        <strike val="0"/>
        <outline val="0"/>
        <shadow val="0"/>
        <u val="none"/>
        <vertAlign val="baseline"/>
        <sz val="12"/>
        <name val="Arial"/>
        <family val="2"/>
        <scheme val="none"/>
      </font>
      <alignment vertical="center"/>
    </dxf>
    <dxf>
      <font>
        <b val="0"/>
        <strike val="0"/>
        <outline val="0"/>
        <shadow val="0"/>
        <u val="none"/>
        <vertAlign val="baseline"/>
        <sz val="12"/>
        <name val="Arial"/>
        <family val="2"/>
        <scheme val="none"/>
      </font>
      <alignment vertical="center"/>
    </dxf>
    <dxf>
      <font>
        <strike val="0"/>
        <outline val="0"/>
        <shadow val="0"/>
        <u val="none"/>
        <vertAlign val="baseline"/>
        <sz val="12"/>
        <name val="Arial"/>
        <family val="2"/>
        <scheme val="none"/>
      </font>
    </dxf>
    <dxf>
      <font>
        <b val="0"/>
        <strike val="0"/>
        <outline val="0"/>
        <shadow val="0"/>
        <u val="none"/>
        <vertAlign val="baseline"/>
        <sz val="12"/>
        <name val="Arial"/>
        <family val="2"/>
        <scheme val="none"/>
      </font>
      <alignment horizontal="left" vertical="center" textRotation="0" wrapText="1" indent="0" justifyLastLine="0" shrinkToFit="0" readingOrder="0"/>
    </dxf>
    <dxf>
      <font>
        <b/>
        <strike val="0"/>
        <outline val="0"/>
        <shadow val="0"/>
        <u val="none"/>
        <vertAlign val="baseline"/>
        <sz val="12"/>
        <name val="Arial"/>
        <family val="2"/>
        <scheme val="none"/>
      </font>
      <alignment horizontal="center" vertical="center" textRotation="0" wrapText="0" indent="0" justifyLastLine="0" shrinkToFit="0" readingOrder="0"/>
    </dxf>
    <dxf>
      <font>
        <b val="0"/>
        <strike val="0"/>
        <outline val="0"/>
        <shadow val="0"/>
        <u val="none"/>
        <vertAlign val="baseline"/>
        <sz val="12"/>
        <name val="Arial"/>
        <family val="2"/>
        <scheme val="none"/>
      </font>
      <alignment horizontal="center" vertical="center" textRotation="0" wrapText="0" indent="0" justifyLastLine="0" shrinkToFit="0" readingOrder="0"/>
    </dxf>
    <dxf>
      <font>
        <b/>
        <strike val="0"/>
        <outline val="0"/>
        <shadow val="0"/>
        <u val="none"/>
        <vertAlign val="baseline"/>
        <sz val="12"/>
        <name val="Arial"/>
        <family val="2"/>
        <scheme val="none"/>
      </font>
      <alignment horizontal="center" vertical="center" textRotation="0" wrapText="0" indent="0" justifyLastLine="0" shrinkToFit="0" readingOrder="0"/>
    </dxf>
    <dxf>
      <font>
        <b val="0"/>
        <strike val="0"/>
        <outline val="0"/>
        <shadow val="0"/>
        <u val="none"/>
        <vertAlign val="baseline"/>
        <sz val="12"/>
        <name val="Arial"/>
        <family val="2"/>
        <scheme val="none"/>
      </font>
      <alignment horizontal="center" vertical="center" textRotation="0" wrapText="0" indent="0" justifyLastLine="0" shrinkToFit="0" readingOrder="0"/>
    </dxf>
    <dxf>
      <font>
        <strike val="0"/>
        <outline val="0"/>
        <shadow val="0"/>
        <u val="none"/>
        <vertAlign val="baseline"/>
        <sz val="12"/>
        <name val="Arial"/>
        <family val="2"/>
        <scheme val="none"/>
      </font>
    </dxf>
    <dxf>
      <font>
        <b val="0"/>
        <strike val="0"/>
        <outline val="0"/>
        <shadow val="0"/>
        <u val="none"/>
        <vertAlign val="baseline"/>
        <sz val="12"/>
        <name val="Arial"/>
        <family val="2"/>
        <scheme val="none"/>
      </font>
      <alignment vertical="center"/>
    </dxf>
    <dxf>
      <font>
        <b/>
        <strike val="0"/>
        <outline val="0"/>
        <shadow val="0"/>
        <u val="none"/>
        <vertAlign val="baseline"/>
        <sz val="12"/>
        <name val="Arial"/>
        <family val="2"/>
        <scheme val="none"/>
      </font>
      <alignment vertical="center"/>
    </dxf>
    <dxf>
      <font>
        <b val="0"/>
        <strike val="0"/>
        <outline val="0"/>
        <shadow val="0"/>
        <u val="none"/>
        <vertAlign val="baseline"/>
        <sz val="12"/>
        <name val="Arial"/>
        <family val="2"/>
        <scheme val="none"/>
      </font>
      <alignment vertical="center"/>
    </dxf>
    <dxf>
      <font>
        <b val="0"/>
        <strike val="0"/>
        <outline val="0"/>
        <shadow val="0"/>
        <u val="none"/>
        <vertAlign val="baseline"/>
        <sz val="12"/>
        <name val="Arial"/>
        <family val="2"/>
        <scheme val="none"/>
      </font>
      <alignment vertical="center"/>
    </dxf>
    <dxf>
      <font>
        <b val="0"/>
        <strike val="0"/>
        <outline val="0"/>
        <shadow val="0"/>
        <u val="none"/>
        <vertAlign val="baseline"/>
        <sz val="12"/>
        <name val="Arial"/>
        <family val="2"/>
        <scheme val="none"/>
      </font>
    </dxf>
    <dxf>
      <font>
        <b/>
        <strike val="0"/>
        <outline val="0"/>
        <shadow val="0"/>
        <u val="none"/>
        <vertAlign val="baseline"/>
        <sz val="12"/>
        <color theme="0"/>
        <name val="Arial"/>
        <family val="2"/>
        <scheme val="none"/>
      </font>
      <fill>
        <gradientFill degree="90">
          <stop position="0">
            <color theme="2"/>
          </stop>
          <stop position="1">
            <color theme="1"/>
          </stop>
        </gradientFill>
      </fill>
    </dxf>
    <dxf>
      <font>
        <strike val="0"/>
        <outline val="0"/>
        <shadow val="0"/>
        <u val="none"/>
        <vertAlign val="baseline"/>
        <sz val="12"/>
        <color theme="1"/>
        <name val="Arial"/>
        <family val="2"/>
        <scheme val="none"/>
      </font>
      <alignment horizontal="center" vertical="center" textRotation="0" wrapText="1" indent="0" justifyLastLine="0" shrinkToFit="0" readingOrder="0"/>
    </dxf>
    <dxf>
      <font>
        <b/>
        <i val="0"/>
        <strike val="0"/>
        <outline val="0"/>
        <shadow val="0"/>
        <u val="none"/>
        <vertAlign val="baseline"/>
        <sz val="12"/>
        <color theme="1"/>
        <name val="Arial"/>
        <family val="2"/>
        <scheme val="none"/>
      </font>
      <alignment horizontal="center" vertical="center" textRotation="0" wrapText="0" indent="0" justifyLastLine="0" shrinkToFit="0" readingOrder="0"/>
    </dxf>
    <dxf>
      <font>
        <b/>
        <strike val="0"/>
        <outline val="0"/>
        <shadow val="0"/>
        <u val="none"/>
        <vertAlign val="baseline"/>
        <sz val="12"/>
        <color theme="1"/>
        <name val="Arial"/>
        <family val="2"/>
        <scheme val="none"/>
      </font>
      <alignment horizontal="center" vertical="center" textRotation="0" wrapText="0" indent="0" justifyLastLine="0" shrinkToFit="0" readingOrder="0"/>
    </dxf>
    <dxf>
      <font>
        <b/>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name val="Arial"/>
        <family val="2"/>
        <scheme val="none"/>
      </font>
      <fill>
        <gradientFill degree="90">
          <stop position="0">
            <color theme="2"/>
          </stop>
          <stop position="1">
            <color theme="1"/>
          </stop>
        </gradientFill>
      </fill>
      <alignment horizontal="center" vertical="center" textRotation="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strike val="0"/>
        <outline val="0"/>
        <shadow val="0"/>
        <u val="none"/>
        <vertAlign val="baseline"/>
        <sz val="12"/>
        <color theme="0"/>
        <name val="Arial"/>
        <family val="2"/>
        <scheme val="none"/>
      </font>
      <fill>
        <gradientFill degree="90">
          <stop position="0">
            <color theme="2"/>
          </stop>
          <stop position="1">
            <color theme="1"/>
          </stop>
        </gradientFill>
      </fill>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top" textRotation="0" wrapText="1" indent="0" justifyLastLine="0" shrinkToFit="0" readingOrder="0"/>
    </dxf>
    <dxf>
      <font>
        <b/>
        <strike val="0"/>
        <outline val="0"/>
        <shadow val="0"/>
        <u val="none"/>
        <vertAlign val="baseline"/>
        <sz val="12"/>
        <color theme="1"/>
        <name val="Arial"/>
        <family val="2"/>
        <scheme val="none"/>
      </font>
      <alignment horizontal="center" vertical="center" textRotation="0" wrapText="0" indent="0" justifyLastLine="0" shrinkToFit="0" readingOrder="0"/>
    </dxf>
    <dxf>
      <font>
        <b/>
        <strike val="0"/>
        <outline val="0"/>
        <shadow val="0"/>
        <u val="none"/>
        <vertAlign val="baseline"/>
        <sz val="12"/>
        <color theme="1"/>
        <name val="Arial"/>
        <family val="2"/>
        <scheme val="none"/>
      </font>
      <alignment horizontal="center" vertical="center" textRotation="0" wrapText="0" indent="0" justifyLastLine="0" shrinkToFit="0" readingOrder="0"/>
    </dxf>
    <dxf>
      <font>
        <b/>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b/>
        <strike val="0"/>
        <outline val="0"/>
        <shadow val="0"/>
        <u val="none"/>
        <vertAlign val="baseline"/>
        <sz val="12"/>
        <color theme="0"/>
        <name val="Arial"/>
        <family val="2"/>
        <scheme val="none"/>
      </font>
      <fill>
        <gradientFill degree="90">
          <stop position="0">
            <color theme="2"/>
          </stop>
          <stop position="1">
            <color theme="1"/>
          </stop>
        </gradientFill>
      </fill>
      <alignment horizontal="center" vertical="center" textRotation="0" wrapText="0"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vertical="center"/>
    </dxf>
    <dxf>
      <font>
        <strike val="0"/>
        <outline val="0"/>
        <shadow val="0"/>
        <u val="none"/>
        <vertAlign val="baseline"/>
        <sz val="12"/>
        <name val="Arial"/>
        <family val="2"/>
        <scheme val="none"/>
      </font>
      <alignment vertical="center"/>
    </dxf>
    <dxf>
      <font>
        <b/>
        <strike val="0"/>
        <outline val="0"/>
        <shadow val="0"/>
        <u val="none"/>
        <vertAlign val="baseline"/>
        <sz val="12"/>
        <name val="Arial"/>
        <family val="2"/>
        <scheme val="none"/>
      </font>
      <alignment horizontal="center" vertical="center"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color theme="0"/>
        <name val="Arial"/>
        <family val="2"/>
        <scheme val="none"/>
      </font>
      <fill>
        <gradientFill degree="90">
          <stop position="0">
            <color theme="2"/>
          </stop>
          <stop position="1">
            <color theme="1"/>
          </stop>
        </gradientFill>
      </fill>
      <alignment horizontal="general"/>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vertical="center"/>
    </dxf>
    <dxf>
      <font>
        <strike val="0"/>
        <outline val="0"/>
        <shadow val="0"/>
        <u val="none"/>
        <vertAlign val="baseline"/>
        <sz val="12"/>
        <name val="Arial"/>
        <family val="2"/>
        <scheme val="none"/>
      </font>
      <alignment vertical="center"/>
    </dxf>
    <dxf>
      <font>
        <b/>
        <strike val="0"/>
        <outline val="0"/>
        <shadow val="0"/>
        <u val="none"/>
        <vertAlign val="baseline"/>
        <sz val="12"/>
        <name val="Arial"/>
        <family val="2"/>
        <scheme val="none"/>
      </font>
      <alignment horizontal="center" vertical="center"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color theme="0"/>
        <name val="Arial"/>
        <family val="2"/>
        <scheme val="none"/>
      </font>
      <fill>
        <gradientFill degree="90">
          <stop position="0">
            <color theme="2"/>
          </stop>
          <stop position="1">
            <color theme="1"/>
          </stop>
        </gradientFill>
      </fill>
      <alignment horizontal="general"/>
    </dxf>
    <dxf>
      <font>
        <strike val="0"/>
        <outline val="0"/>
        <shadow val="0"/>
        <u val="none"/>
        <vertAlign val="baseline"/>
        <sz val="12"/>
        <name val="Arial"/>
        <family val="2"/>
        <scheme val="none"/>
      </font>
      <alignment horizontal="left" vertical="top" textRotation="0" wrapText="1" indent="0" justifyLastLine="0" shrinkToFit="0" readingOrder="0"/>
    </dxf>
    <dxf>
      <font>
        <b/>
        <strike val="0"/>
        <outline val="0"/>
        <shadow val="0"/>
        <u val="none"/>
        <vertAlign val="baseline"/>
        <sz val="12"/>
        <color theme="1"/>
        <name val="Arial"/>
        <family val="2"/>
        <scheme val="none"/>
      </font>
      <fill>
        <patternFill patternType="none">
          <fgColor auto="1"/>
          <bgColor auto="1"/>
        </patternFill>
      </fill>
      <alignment vertical="center"/>
    </dxf>
    <dxf>
      <font>
        <b/>
        <strike val="0"/>
        <outline val="0"/>
        <shadow val="0"/>
        <u val="none"/>
        <vertAlign val="baseline"/>
        <sz val="12"/>
        <name val="Arial"/>
        <family val="2"/>
        <scheme val="none"/>
      </font>
      <alignment horizontal="center" vertical="center"/>
    </dxf>
    <dxf>
      <font>
        <b/>
        <strike val="0"/>
        <outline val="0"/>
        <shadow val="0"/>
        <u val="none"/>
        <vertAlign val="baseline"/>
        <sz val="12"/>
        <name val="Arial"/>
        <family val="2"/>
        <scheme val="none"/>
      </font>
      <alignment horizontal="center" vertical="center"/>
    </dxf>
    <dxf>
      <font>
        <strike val="0"/>
        <outline val="0"/>
        <shadow val="0"/>
        <u val="none"/>
        <vertAlign val="baseline"/>
        <sz val="12"/>
        <name val="Arial"/>
        <family val="2"/>
        <scheme val="none"/>
      </font>
    </dxf>
    <dxf>
      <font>
        <strike val="0"/>
        <outline val="0"/>
        <shadow val="0"/>
        <u val="none"/>
        <vertAlign val="baseline"/>
        <sz val="12"/>
        <color theme="0"/>
        <name val="Arial"/>
        <family val="2"/>
        <scheme val="none"/>
      </font>
      <fill>
        <gradientFill degree="90">
          <stop position="0">
            <color theme="2"/>
          </stop>
          <stop position="1">
            <color theme="1"/>
          </stop>
        </gradientFill>
      </fill>
    </dxf>
    <dxf>
      <font>
        <strike val="0"/>
        <outline val="0"/>
        <shadow val="0"/>
        <u val="none"/>
        <vertAlign val="baseline"/>
        <sz val="12"/>
        <color theme="1"/>
        <name val="Arial"/>
        <family val="2"/>
        <scheme val="none"/>
      </font>
      <alignment horizontal="left" vertical="top" textRotation="0" wrapText="1" indent="0" justifyLastLine="0" shrinkToFit="0" readingOrder="0"/>
    </dxf>
    <dxf>
      <font>
        <b/>
        <strike val="0"/>
        <outline val="0"/>
        <shadow val="0"/>
        <u val="none"/>
        <vertAlign val="baseline"/>
        <sz val="12"/>
        <color theme="1"/>
        <name val="Arial"/>
        <family val="2"/>
        <scheme val="none"/>
      </font>
      <fill>
        <patternFill patternType="none">
          <fgColor auto="1"/>
          <bgColor auto="1"/>
        </patternFill>
      </fill>
      <alignment horizontal="center" vertical="top" textRotation="0" wrapText="1" indent="0" justifyLastLine="0" shrinkToFit="0" readingOrder="0"/>
    </dxf>
    <dxf>
      <font>
        <strike val="0"/>
        <outline val="0"/>
        <shadow val="0"/>
        <u val="none"/>
        <vertAlign val="baseline"/>
        <sz val="12"/>
        <color theme="1"/>
        <name val="Arial"/>
        <family val="2"/>
        <scheme val="none"/>
      </font>
      <alignment horizontal="center" vertical="top" textRotation="0" wrapText="1" indent="0" justifyLastLine="0" shrinkToFit="0" readingOrder="0"/>
    </dxf>
    <dxf>
      <font>
        <strike val="0"/>
        <outline val="0"/>
        <shadow val="0"/>
        <u val="none"/>
        <vertAlign val="baseline"/>
        <sz val="12"/>
        <color theme="1"/>
        <name val="Arial"/>
        <family val="2"/>
        <scheme val="none"/>
      </font>
      <alignment horizontal="center" vertical="top" textRotation="0" wrapText="1" indent="0" justifyLastLine="0" shrinkToFit="0" readingOrder="0"/>
    </dxf>
    <dxf>
      <font>
        <strike val="0"/>
        <outline val="0"/>
        <shadow val="0"/>
        <u val="none"/>
        <vertAlign val="baseline"/>
        <sz val="12"/>
        <color theme="1"/>
        <name val="Arial"/>
        <family val="2"/>
        <scheme val="none"/>
      </font>
      <alignment horizontal="center" vertical="top" textRotation="0" wrapText="1" indent="0" justifyLastLine="0" shrinkToFit="0" readingOrder="0"/>
    </dxf>
    <dxf>
      <font>
        <b/>
        <strike val="0"/>
        <outline val="0"/>
        <shadow val="0"/>
        <u val="none"/>
        <vertAlign val="baseline"/>
        <sz val="12"/>
        <color theme="0"/>
        <name val="Arial"/>
        <family val="2"/>
        <scheme val="none"/>
      </font>
      <fill>
        <gradientFill degree="90">
          <stop position="0">
            <color theme="2"/>
          </stop>
          <stop position="1">
            <color theme="1"/>
          </stop>
        </gradientFill>
      </fill>
    </dxf>
    <dxf>
      <font>
        <strike val="0"/>
        <outline val="0"/>
        <shadow val="0"/>
        <u val="none"/>
        <vertAlign val="baseline"/>
        <sz val="12"/>
        <name val="Arial"/>
        <family val="2"/>
        <scheme val="none"/>
      </font>
      <alignment horizontal="left" vertical="top" textRotation="0" wrapText="1" indent="0" justifyLastLine="0" shrinkToFit="0" readingOrder="0"/>
    </dxf>
    <dxf>
      <font>
        <b/>
        <strike val="0"/>
        <outline val="0"/>
        <shadow val="0"/>
        <u val="none"/>
        <vertAlign val="baseline"/>
        <sz val="12"/>
        <name val="Arial"/>
        <family val="2"/>
        <scheme val="none"/>
      </font>
      <alignment horizontal="center" vertical="center" textRotation="0" wrapText="0" indent="0" justifyLastLine="0" shrinkToFit="0" readingOrder="0"/>
    </dxf>
    <dxf>
      <font>
        <b/>
        <strike val="0"/>
        <outline val="0"/>
        <shadow val="0"/>
        <u val="none"/>
        <vertAlign val="baseline"/>
        <sz val="12"/>
        <name val="Arial"/>
        <family val="2"/>
        <scheme val="none"/>
      </font>
      <alignment horizontal="center" vertical="center" textRotation="0" wrapText="0" indent="0" justifyLastLine="0" shrinkToFit="0" readingOrder="0"/>
    </dxf>
    <dxf>
      <font>
        <b/>
        <strike val="0"/>
        <outline val="0"/>
        <shadow val="0"/>
        <u val="none"/>
        <vertAlign val="baseline"/>
        <sz val="12"/>
        <name val="Arial"/>
        <family val="2"/>
        <scheme val="none"/>
      </font>
      <alignment horizontal="center" vertical="center" textRotation="0" wrapText="0" indent="0" justifyLastLine="0" shrinkToFit="0" readingOrder="0"/>
    </dxf>
    <dxf>
      <font>
        <strike val="0"/>
        <outline val="0"/>
        <shadow val="0"/>
        <u val="none"/>
        <vertAlign val="baseline"/>
        <sz val="12"/>
        <name val="Arial"/>
        <family val="2"/>
        <scheme val="none"/>
      </font>
      <alignment vertical="center"/>
    </dxf>
    <dxf>
      <font>
        <b/>
        <strike val="0"/>
        <outline val="0"/>
        <shadow val="0"/>
        <u val="none"/>
        <vertAlign val="baseline"/>
        <sz val="12"/>
        <color theme="0"/>
        <name val="Arial"/>
        <family val="2"/>
        <scheme val="none"/>
      </font>
      <fill>
        <gradientFill degree="90">
          <stop position="0">
            <color theme="2"/>
          </stop>
          <stop position="1">
            <color theme="1"/>
          </stop>
        </gradientFill>
      </fil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fill>
        <gradientFill degree="90">
          <stop position="0">
            <color theme="2"/>
          </stop>
          <stop position="1">
            <color theme="1"/>
          </stop>
        </gradientFill>
      </fill>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fill>
        <gradientFill degree="90">
          <stop position="0">
            <color theme="2"/>
          </stop>
          <stop position="1">
            <color theme="2" tint="-9.8025452436902985E-2"/>
          </stop>
        </gradientFill>
      </fill>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fill>
        <gradientFill degree="90">
          <stop position="0">
            <color theme="2"/>
          </stop>
          <stop position="1">
            <color theme="1"/>
          </stop>
        </gradientFill>
      </fill>
      <alignment horizontal="center"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border>
        <bottom style="thin">
          <color theme="0"/>
        </bottom>
      </border>
    </dxf>
    <dxf>
      <font>
        <b val="0"/>
        <i/>
        <strike val="0"/>
        <outline val="0"/>
        <shadow val="0"/>
        <u val="none"/>
        <vertAlign val="baseline"/>
        <sz val="11"/>
        <color theme="0"/>
        <name val="Arial"/>
        <family val="2"/>
        <scheme val="none"/>
      </font>
      <fill>
        <gradientFill degree="90">
          <stop position="0">
            <color theme="2"/>
          </stop>
          <stop position="1">
            <color theme="1"/>
          </stop>
        </gradientFill>
      </fill>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2"/>
        <color theme="0"/>
        <name val="Arial"/>
        <family val="2"/>
        <scheme val="none"/>
      </font>
      <fill>
        <gradientFill degree="90">
          <stop position="0">
            <color theme="2"/>
          </stop>
          <stop position="1">
            <color theme="1"/>
          </stop>
        </gradientFill>
      </fill>
      <alignment horizontal="center" vertical="center" textRotation="0" wrapText="0" indent="0" justifyLastLine="0" shrinkToFit="0" readingOrder="0"/>
    </dxf>
    <dxf>
      <font>
        <strike val="0"/>
        <outline val="0"/>
        <shadow val="0"/>
        <u val="none"/>
        <vertAlign val="baseline"/>
        <sz val="12"/>
        <name val="Arial"/>
        <family val="2"/>
        <scheme val="none"/>
      </font>
      <alignment horizontal="general" vertical="bottom"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general" vertical="bottom" textRotation="0" wrapText="1" indent="0" justifyLastLine="0" shrinkToFit="0" readingOrder="0"/>
    </dxf>
    <dxf>
      <font>
        <b/>
        <strike val="0"/>
        <outline val="0"/>
        <shadow val="0"/>
        <u val="none"/>
        <vertAlign val="baseline"/>
        <sz val="12"/>
        <color theme="0"/>
        <name val="Arial"/>
        <family val="2"/>
        <scheme val="none"/>
      </font>
      <fill>
        <gradientFill degree="90">
          <stop position="0">
            <color theme="0"/>
          </stop>
          <stop position="1">
            <color theme="1"/>
          </stop>
        </gradientFill>
      </fill>
      <alignment horizontal="center" vertical="center" textRotation="0" wrapText="1" indent="0" justifyLastLine="0" shrinkToFit="0" readingOrder="0"/>
    </dxf>
    <dxf>
      <font>
        <strike val="0"/>
        <outline val="0"/>
        <shadow val="0"/>
        <u val="none"/>
        <vertAlign val="baseline"/>
        <sz val="12"/>
        <color theme="1"/>
        <name val="Arial"/>
        <family val="2"/>
        <scheme val="none"/>
      </font>
      <alignment horizontal="left" vertical="top" textRotation="0" wrapText="1" indent="0" justifyLastLine="0" shrinkToFit="0" readingOrder="0"/>
    </dxf>
    <dxf>
      <font>
        <strike val="0"/>
        <outline val="0"/>
        <shadow val="0"/>
        <u val="none"/>
        <vertAlign val="baseline"/>
        <sz val="12"/>
        <color theme="1"/>
        <name val="Arial"/>
        <family val="2"/>
        <scheme val="none"/>
      </font>
      <alignment horizontal="left" vertical="top" textRotation="0" wrapText="1" indent="0" justifyLastLine="0" shrinkToFit="0" readingOrder="0"/>
    </dxf>
    <dxf>
      <font>
        <strike val="0"/>
        <outline val="0"/>
        <shadow val="0"/>
        <u val="none"/>
        <vertAlign val="baseline"/>
        <sz val="12"/>
        <color theme="1"/>
        <name val="Arial"/>
        <family val="2"/>
        <scheme val="none"/>
      </font>
      <alignment horizontal="left" vertical="top" textRotation="0" wrapText="1" indent="0" justifyLastLine="0" shrinkToFit="0" readingOrder="0"/>
    </dxf>
    <dxf>
      <font>
        <b/>
        <strike val="0"/>
        <outline val="0"/>
        <shadow val="0"/>
        <u val="none"/>
        <vertAlign val="baseline"/>
        <sz val="12"/>
        <color theme="0"/>
        <name val="Arial"/>
        <family val="2"/>
        <scheme val="none"/>
      </font>
      <fill>
        <gradientFill degree="90">
          <stop position="0">
            <color theme="2"/>
          </stop>
          <stop position="1">
            <color theme="1"/>
          </stop>
        </gradientFill>
      </fill>
      <alignment horizontal="center" vertical="center"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color theme="0"/>
        <name val="Arial"/>
        <family val="2"/>
        <scheme val="none"/>
      </font>
      <fill>
        <patternFill patternType="solid">
          <fgColor auto="1"/>
          <bgColor theme="2" tint="-0.24994659260841701"/>
        </patternFill>
      </fill>
      <alignment horizontal="center" vertical="center" textRotation="0" wrapText="0" indent="0" justifyLastLine="0" shrinkToFit="0" readingOrder="0"/>
    </dxf>
    <dxf>
      <font>
        <strike val="0"/>
        <outline val="0"/>
        <shadow val="0"/>
        <u val="none"/>
        <vertAlign val="baseline"/>
        <sz val="12"/>
        <name val="Arial"/>
        <family val="2"/>
        <scheme val="none"/>
      </font>
    </dxf>
    <dxf>
      <font>
        <b/>
        <strike val="0"/>
        <outline val="0"/>
        <shadow val="0"/>
        <u val="none"/>
        <vertAlign val="baseline"/>
        <sz val="12"/>
        <color theme="0"/>
        <name val="Arial"/>
        <family val="2"/>
        <scheme val="none"/>
      </font>
      <fill>
        <gradientFill degree="90">
          <stop position="0">
            <color theme="2"/>
          </stop>
          <stop position="1">
            <color theme="1"/>
          </stop>
        </gradientFill>
      </fill>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left" vertical="top" textRotation="0" wrapText="1" indent="0" justifyLastLine="0" shrinkToFit="0" readingOrder="0"/>
    </dxf>
    <dxf>
      <font>
        <strike val="0"/>
        <outline val="0"/>
        <shadow val="0"/>
        <u val="none"/>
        <vertAlign val="baseline"/>
        <sz val="12"/>
        <color theme="1"/>
        <name val="Arial"/>
        <family val="2"/>
        <scheme val="none"/>
      </font>
      <alignment horizontal="left" vertical="top" textRotation="0" wrapText="1" indent="0" justifyLastLine="0" shrinkToFit="0" readingOrder="0"/>
    </dxf>
    <dxf>
      <font>
        <strike val="0"/>
        <outline val="0"/>
        <shadow val="0"/>
        <u val="none"/>
        <vertAlign val="baseline"/>
        <sz val="12"/>
        <color theme="1"/>
        <name val="Arial"/>
        <family val="2"/>
        <scheme val="none"/>
      </font>
      <alignment horizontal="left" vertical="top" textRotation="0" wrapText="1"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4"/>
        <color theme="1"/>
        <name val="Arial"/>
        <family val="2"/>
        <scheme val="none"/>
      </font>
      <fill>
        <gradientFill degree="90">
          <stop position="0">
            <color theme="2"/>
          </stop>
          <stop position="1">
            <color theme="1"/>
          </stop>
        </gradientFill>
      </fill>
    </dxf>
    <dxf>
      <font>
        <b/>
        <i val="0"/>
        <strike val="0"/>
        <condense val="0"/>
        <extend val="0"/>
        <outline val="0"/>
        <shadow val="0"/>
        <u val="none"/>
        <vertAlign val="baseline"/>
        <sz val="12"/>
        <color auto="1"/>
        <name val="Arial"/>
        <family val="2"/>
        <scheme val="none"/>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solid">
          <fgColor theme="5" tint="0.79998168889431442"/>
          <bgColor theme="5" tint="0.79998168889431442"/>
        </patternFill>
      </fill>
      <alignment horizontal="center" vertical="center" textRotation="0" wrapText="1" indent="0" justifyLastLine="0" shrinkToFit="0" readingOrder="0"/>
      <border diagonalUp="0" diagonalDown="0">
        <left/>
        <right/>
        <top style="thin">
          <color theme="5" tint="0.39997558519241921"/>
        </top>
        <bottom style="thin">
          <color theme="5" tint="0.39997558519241921"/>
        </bottom>
      </border>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4"/>
        <color theme="1"/>
        <name val="Arial"/>
        <family val="2"/>
        <scheme val="none"/>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right/>
        <top style="thin">
          <color theme="5" tint="0.39997558519241921"/>
        </top>
        <bottom style="thin">
          <color theme="5" tint="0.39997558519241921"/>
        </bottom>
      </border>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sz val="14"/>
        <name val="Arial"/>
        <family val="2"/>
        <scheme val="none"/>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right/>
        <top style="thin">
          <color theme="5" tint="0.39997558519241921"/>
        </top>
        <bottom style="thin">
          <color theme="5" tint="0.39997558519241921"/>
        </bottom>
      </border>
    </dxf>
    <dxf>
      <font>
        <sz val="14"/>
        <name val="Arial"/>
        <family val="2"/>
        <scheme val="none"/>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right/>
        <top style="thin">
          <color theme="5" tint="0.39997558519241921"/>
        </top>
        <bottom style="thin">
          <color theme="5" tint="0.39997558519241921"/>
        </bottom>
      </border>
    </dxf>
    <dxf>
      <font>
        <b val="0"/>
        <i val="0"/>
        <strike val="0"/>
        <condense val="0"/>
        <extend val="0"/>
        <outline val="0"/>
        <shadow val="0"/>
        <u val="none"/>
        <vertAlign val="baseline"/>
        <sz val="14"/>
        <color theme="1"/>
        <name val="Arial"/>
        <family val="2"/>
        <scheme val="none"/>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right/>
        <top style="thin">
          <color theme="5" tint="0.39997558519241921"/>
        </top>
        <bottom style="thin">
          <color theme="5" tint="0.39997558519241921"/>
        </bottom>
      </border>
    </dxf>
    <dxf>
      <font>
        <b val="0"/>
        <i val="0"/>
        <strike val="0"/>
        <condense val="0"/>
        <extend val="0"/>
        <outline val="0"/>
        <shadow val="0"/>
        <u val="none"/>
        <vertAlign val="baseline"/>
        <sz val="14"/>
        <color theme="1"/>
        <name val="Arial"/>
        <family val="2"/>
        <scheme val="none"/>
      </font>
      <alignment horizontal="left" vertical="center" textRotation="0" wrapText="1" indent="0" justifyLastLine="0" shrinkToFit="0" readingOrder="0"/>
    </dxf>
    <dxf>
      <border outline="0">
        <top style="thin">
          <color theme="5" tint="0.39997558519241921"/>
        </top>
      </border>
    </dxf>
    <dxf>
      <border outline="0">
        <left style="thin">
          <color theme="5" tint="0.39997558519241921"/>
        </left>
        <right style="thin">
          <color theme="5" tint="0.39997558519241921"/>
        </right>
        <top style="thin">
          <color theme="5" tint="0.39997558519241921"/>
        </top>
        <bottom style="thin">
          <color theme="5" tint="0.39997558519241921"/>
        </bottom>
      </border>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border outline="0">
        <bottom style="thin">
          <color theme="5" tint="0.39997558519241921"/>
        </bottom>
      </border>
    </dxf>
    <dxf>
      <font>
        <b/>
        <i val="0"/>
        <strike val="0"/>
        <condense val="0"/>
        <extend val="0"/>
        <outline val="0"/>
        <shadow val="0"/>
        <u val="none"/>
        <vertAlign val="baseline"/>
        <sz val="12"/>
        <color theme="0"/>
        <name val="Arial"/>
        <family val="2"/>
        <scheme val="none"/>
      </font>
      <fill>
        <gradientFill degree="90">
          <stop position="0">
            <color theme="2"/>
          </stop>
          <stop position="1">
            <color theme="1"/>
          </stop>
        </gradientFill>
      </fill>
      <alignment horizontal="center" vertical="center" textRotation="0" wrapText="1" indent="0" justifyLastLine="0" shrinkToFit="0" readingOrder="0"/>
    </dxf>
    <dxf>
      <font>
        <b/>
        <strike val="0"/>
        <outline val="0"/>
        <shadow val="0"/>
        <u val="none"/>
        <vertAlign val="baseline"/>
        <sz val="15"/>
        <color auto="1"/>
        <name val="Arial"/>
        <family val="2"/>
        <scheme val="none"/>
      </font>
      <alignment horizontal="center" vertical="center" textRotation="0" wrapText="1" indent="0" justifyLastLine="0" shrinkToFit="0" readingOrder="0"/>
    </dxf>
    <dxf>
      <font>
        <b/>
        <strike val="0"/>
        <outline val="0"/>
        <shadow val="0"/>
        <u val="none"/>
        <vertAlign val="baseline"/>
        <sz val="15"/>
        <color auto="1"/>
        <name val="Arial"/>
        <family val="2"/>
        <scheme val="none"/>
      </font>
      <alignment horizontal="center" vertical="center" textRotation="0" wrapText="1" indent="0" justifyLastLine="0" shrinkToFit="0" readingOrder="0"/>
    </dxf>
    <dxf>
      <font>
        <b/>
        <strike val="0"/>
        <outline val="0"/>
        <shadow val="0"/>
        <u val="none"/>
        <vertAlign val="baseline"/>
        <sz val="15"/>
        <color auto="1"/>
        <name val="Arial"/>
        <family val="2"/>
        <scheme val="none"/>
      </font>
      <alignment horizontal="center" vertical="center" textRotation="0" wrapText="1" indent="0" justifyLastLine="0" shrinkToFit="0" readingOrder="0"/>
    </dxf>
    <dxf>
      <font>
        <b/>
        <strike val="0"/>
        <outline val="0"/>
        <shadow val="0"/>
        <u val="none"/>
        <vertAlign val="baseline"/>
        <sz val="15"/>
        <color auto="1"/>
        <name val="Arial"/>
        <family val="2"/>
        <scheme val="none"/>
      </font>
      <alignment horizontal="center" vertical="center" textRotation="0" wrapText="1" indent="0" justifyLastLine="0" shrinkToFit="0" readingOrder="0"/>
    </dxf>
    <dxf>
      <font>
        <b/>
        <strike val="0"/>
        <outline val="0"/>
        <shadow val="0"/>
        <u val="none"/>
        <vertAlign val="baseline"/>
        <sz val="15"/>
        <color auto="1"/>
        <name val="Arial"/>
        <family val="2"/>
        <scheme val="none"/>
      </font>
      <alignment horizontal="center" vertical="center" textRotation="0" wrapText="1" indent="0" justifyLastLine="0" shrinkToFit="0" readingOrder="0"/>
    </dxf>
    <dxf>
      <font>
        <b/>
        <strike val="0"/>
        <outline val="0"/>
        <shadow val="0"/>
        <u val="none"/>
        <vertAlign val="baseline"/>
        <sz val="15"/>
        <color theme="0"/>
        <name val="Arial"/>
        <family val="2"/>
        <scheme val="none"/>
      </font>
      <fill>
        <gradientFill degree="90">
          <stop position="0">
            <color theme="2"/>
          </stop>
          <stop position="1">
            <color theme="1"/>
          </stop>
        </gradientFill>
      </fill>
      <alignment textRotation="0" wrapText="1" indent="0" justifyLastLine="0" shrinkToFit="0" readingOrder="0"/>
    </dxf>
    <dxf>
      <border outline="0">
        <left style="thin">
          <color rgb="FF3F3F3F"/>
        </left>
        <right style="thin">
          <color rgb="FF3F3F3F"/>
        </right>
        <top style="thin">
          <color rgb="FF3F3F3F"/>
        </top>
        <bottom style="thin">
          <color rgb="FF3F3F3F"/>
        </bottom>
      </border>
    </dxf>
    <dxf>
      <font>
        <strike val="0"/>
        <outline val="0"/>
        <shadow val="0"/>
        <u val="none"/>
        <vertAlign val="baseline"/>
        <sz val="18"/>
        <name val="Arial"/>
        <family val="2"/>
        <scheme val="none"/>
      </font>
      <alignment textRotation="0" wrapText="1" indent="0" justifyLastLine="0" shrinkToFit="0" readingOrder="0"/>
    </dxf>
    <dxf>
      <font>
        <strike val="0"/>
        <outline val="0"/>
        <shadow val="0"/>
        <u val="none"/>
        <vertAlign val="baseline"/>
        <sz val="18"/>
        <name val="Arial"/>
        <family val="2"/>
        <scheme val="none"/>
      </font>
      <fill>
        <gradientFill degree="90">
          <stop position="0">
            <color theme="2"/>
          </stop>
          <stop position="1">
            <color theme="3"/>
          </stop>
        </gradientFill>
      </fill>
      <alignment textRotation="0" wrapText="1" indent="0" justifyLastLine="0" shrinkToFit="0" readingOrder="0"/>
    </dxf>
    <dxf>
      <font>
        <b/>
        <strike val="0"/>
        <outline val="0"/>
        <shadow val="0"/>
        <u val="none"/>
        <vertAlign val="baseline"/>
        <sz val="12"/>
        <color auto="1"/>
        <name val="Arial"/>
        <family val="2"/>
        <scheme val="none"/>
      </font>
      <numFmt numFmtId="0" formatCode="General"/>
      <alignment horizontal="center" vertical="center" textRotation="0" wrapText="1" indent="0" justifyLastLine="0" shrinkToFit="0" readingOrder="0"/>
    </dxf>
    <dxf>
      <font>
        <strike val="0"/>
        <outline val="0"/>
        <shadow val="0"/>
        <u val="none"/>
        <vertAlign val="baseline"/>
        <sz val="12"/>
        <name val="Arial"/>
        <family val="2"/>
        <scheme val="none"/>
      </font>
      <numFmt numFmtId="0" formatCode="General"/>
      <alignment horizontal="center" vertical="center" textRotation="0" wrapText="1" indent="0" justifyLastLine="0" shrinkToFit="0" readingOrder="0"/>
    </dxf>
    <dxf>
      <font>
        <strike val="0"/>
        <outline val="0"/>
        <shadow val="0"/>
        <u val="none"/>
        <vertAlign val="baseline"/>
        <sz val="12"/>
        <name val="Arial"/>
        <family val="2"/>
        <scheme val="none"/>
      </font>
      <numFmt numFmtId="0" formatCode="General"/>
      <alignment horizontal="center" vertical="center" textRotation="0" wrapText="1" indent="0" justifyLastLine="0" shrinkToFit="0" readingOrder="0"/>
    </dxf>
    <dxf>
      <font>
        <strike val="0"/>
        <outline val="0"/>
        <shadow val="0"/>
        <u val="none"/>
        <vertAlign val="baseline"/>
        <sz val="12"/>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numFmt numFmtId="0" formatCode="General"/>
      <alignment horizontal="center" vertical="center" textRotation="0" wrapText="1" indent="0" justifyLastLine="0" shrinkToFit="0" readingOrder="0"/>
    </dxf>
    <dxf>
      <font>
        <b/>
        <strike val="0"/>
        <outline val="0"/>
        <shadow val="0"/>
        <u val="none"/>
        <vertAlign val="baseline"/>
        <sz val="12"/>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b/>
        <strike val="0"/>
        <outline val="0"/>
        <shadow val="0"/>
        <u val="none"/>
        <vertAlign val="baseline"/>
        <sz val="12"/>
        <color theme="0"/>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horizontal="center" vertical="center" textRotation="0" wrapText="1" indent="0" justifyLastLine="0" shrinkToFit="0" readingOrder="0"/>
    </dxf>
    <dxf>
      <font>
        <b/>
        <strike val="0"/>
        <outline val="0"/>
        <shadow val="0"/>
        <u val="none"/>
        <vertAlign val="baseline"/>
        <sz val="12"/>
        <color theme="0"/>
        <name val="Arial"/>
        <family val="2"/>
        <scheme val="none"/>
      </font>
      <alignment horizontal="center" vertical="center" textRotation="0" wrapText="1" indent="0" justifyLastLine="0" shrinkToFit="0" readingOrder="0"/>
    </dxf>
    <dxf>
      <font>
        <b/>
        <strike val="0"/>
        <outline val="0"/>
        <shadow val="0"/>
        <u val="none"/>
        <vertAlign val="baseline"/>
        <sz val="12"/>
        <color theme="0"/>
        <name val="Arial"/>
        <family val="2"/>
        <scheme val="none"/>
      </font>
      <alignment horizontal="center" vertical="center" textRotation="0" wrapText="1" indent="0" justifyLastLine="0" shrinkToFit="0" readingOrder="0"/>
    </dxf>
    <dxf>
      <font>
        <b/>
        <strike val="0"/>
        <outline val="0"/>
        <shadow val="0"/>
        <u val="none"/>
        <vertAlign val="baseline"/>
        <sz val="12"/>
        <color theme="0"/>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horizontal="left" vertical="center"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b/>
        <strike val="0"/>
        <outline val="0"/>
        <shadow val="0"/>
        <u val="none"/>
        <vertAlign val="baseline"/>
        <sz val="12"/>
        <color theme="0"/>
        <name val="Arial"/>
        <family val="2"/>
        <scheme val="none"/>
      </font>
      <fill>
        <gradientFill degree="90">
          <stop position="0">
            <color theme="2"/>
          </stop>
          <stop position="1">
            <color theme="1"/>
          </stop>
        </gradientFill>
      </fill>
      <alignment horizontal="center" vertical="center" textRotation="0" wrapText="1" indent="0" justifyLastLine="0" shrinkToFit="0" readingOrder="0"/>
    </dxf>
    <dxf>
      <fill>
        <gradientFill degree="90">
          <stop position="0">
            <color theme="2"/>
          </stop>
          <stop position="1">
            <color theme="1"/>
          </stop>
        </gradientFill>
      </fill>
    </dxf>
  </dxfs>
  <tableStyles count="2" defaultTableStyle="TableStyleMedium2" defaultPivotStyle="PivotStyleLight16">
    <tableStyle name="Table Style 1" pivot="0" count="1" xr9:uid="{AD91F177-A82A-46EF-90C3-6CEF8AD1E203}">
      <tableStyleElement type="firstColumnStripe" size="6"/>
    </tableStyle>
    <tableStyle name="Table Style 2" pivot="0" count="0" xr9:uid="{1262C39A-4CE5-4D33-9146-9B3F236DA6F7}"/>
  </tableStyles>
  <colors>
    <mruColors>
      <color rgb="FF000000"/>
      <color rgb="FFFF9900"/>
      <color rgb="FFFF0000"/>
      <color rgb="FFD16464"/>
      <color rgb="FFFF3F3F"/>
      <color rgb="FF904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21</xdr:col>
      <xdr:colOff>269081</xdr:colOff>
      <xdr:row>4</xdr:row>
      <xdr:rowOff>333375</xdr:rowOff>
    </xdr:from>
    <xdr:to>
      <xdr:col>23</xdr:col>
      <xdr:colOff>2381</xdr:colOff>
      <xdr:row>8</xdr:row>
      <xdr:rowOff>88106</xdr:rowOff>
    </xdr:to>
    <xdr:sp macro="" textlink="">
      <xdr:nvSpPr>
        <xdr:cNvPr id="2" name="Left Arrow 1">
          <a:extLst>
            <a:ext uri="{FF2B5EF4-FFF2-40B4-BE49-F238E27FC236}">
              <a16:creationId xmlns:a16="http://schemas.microsoft.com/office/drawing/2014/main" id="{EB512793-048B-C959-B6C4-8C236C091CFF}"/>
            </a:ext>
          </a:extLst>
        </xdr:cNvPr>
        <xdr:cNvSpPr/>
      </xdr:nvSpPr>
      <xdr:spPr>
        <a:xfrm>
          <a:off x="36368831" y="1369219"/>
          <a:ext cx="2447925" cy="933450"/>
        </a:xfrm>
        <a:prstGeom prst="leftArrow">
          <a:avLst/>
        </a:prstGeom>
        <a:solidFill>
          <a:schemeClr val="bg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400" b="0" i="0" u="none" strike="noStrike">
              <a:solidFill>
                <a:schemeClr val="lt1"/>
              </a:solidFill>
              <a:latin typeface="Aptos Narrow" panose="020B0004020202020204" pitchFamily="34" charset="0"/>
            </a:rPr>
            <a:t> ADVESARIAL</a:t>
          </a:r>
        </a:p>
      </xdr:txBody>
    </xdr:sp>
    <xdr:clientData/>
  </xdr:twoCellAnchor>
  <xdr:twoCellAnchor>
    <xdr:from>
      <xdr:col>22</xdr:col>
      <xdr:colOff>1152525</xdr:colOff>
      <xdr:row>4</xdr:row>
      <xdr:rowOff>323850</xdr:rowOff>
    </xdr:from>
    <xdr:to>
      <xdr:col>24</xdr:col>
      <xdr:colOff>1269206</xdr:colOff>
      <xdr:row>8</xdr:row>
      <xdr:rowOff>88106</xdr:rowOff>
    </xdr:to>
    <xdr:sp macro="" textlink="">
      <xdr:nvSpPr>
        <xdr:cNvPr id="39" name="Right Arrow 3">
          <a:extLst>
            <a:ext uri="{FF2B5EF4-FFF2-40B4-BE49-F238E27FC236}">
              <a16:creationId xmlns:a16="http://schemas.microsoft.com/office/drawing/2014/main" id="{95E709D3-17C9-A4C5-1D05-DE5FFF37D167}"/>
            </a:ext>
            <a:ext uri="{147F2762-F138-4A5C-976F-8EAC2B608ADB}">
              <a16:predDERef xmlns:a16="http://schemas.microsoft.com/office/drawing/2014/main" pred="{EB512793-048B-C959-B6C4-8C236C091CFF}"/>
            </a:ext>
          </a:extLst>
        </xdr:cNvPr>
        <xdr:cNvSpPr/>
      </xdr:nvSpPr>
      <xdr:spPr>
        <a:xfrm>
          <a:off x="38788181" y="1359694"/>
          <a:ext cx="2700338" cy="942975"/>
        </a:xfrm>
        <a:prstGeom prst="rightArrow">
          <a:avLst/>
        </a:prstGeom>
        <a:solidFill>
          <a:schemeClr val="bg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400" b="0" i="0" u="none" strike="noStrike">
              <a:solidFill>
                <a:schemeClr val="lt1"/>
              </a:solidFill>
              <a:latin typeface="Aptos Narrow" panose="020B0004020202020204" pitchFamily="34" charset="0"/>
            </a:rPr>
            <a:t> NON-ADVERSARIAL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1E14AA5-E791-4B37-A0A8-627A0F847CAD}" name="Table4335" displayName="Table4335" ref="A4:Q13" totalsRowShown="0" headerRowDxfId="470" dataDxfId="469">
  <autoFilter ref="A4:Q13" xr:uid="{81E14AA5-E791-4B37-A0A8-627A0F847CAD}"/>
  <tableColumns count="17">
    <tableColumn id="1" xr3:uid="{B71B5F85-8443-42FD-B4FB-34EF048324AD}" name="Threat Events" dataDxfId="468"/>
    <tableColumn id="2" xr3:uid="{64E9DFC5-5EA8-4920-A0DC-73E1700EF0C0}" name="Threat Source" dataDxfId="467"/>
    <tableColumn id="14" xr3:uid="{CCDB34A4-A7D7-4DB5-BDCA-1116E5C5A615}" name="Vulnerability ID" dataDxfId="466"/>
    <tableColumn id="15" xr3:uid="{87F76B71-E177-46F8-987A-AEB98EEB92F8}" name="Security Controls" dataDxfId="465"/>
    <tableColumn id="3" xr3:uid="{53DE060C-B8D9-4E34-849B-27718DC19316}" name="Capabilites" dataDxfId="464"/>
    <tableColumn id="4" xr3:uid="{17671F86-D16A-4CAE-A05E-E978579452CB}" name="Intent" dataDxfId="463"/>
    <tableColumn id="5" xr3:uid="{667FC9F9-9A41-490A-9BCC-3B8B4D883021}" name="Targeting" dataDxfId="462"/>
    <tableColumn id="6" xr3:uid="{E0711A03-3957-40F8-B68A-F57A4870A9A2}" name="Relevancy" dataDxfId="461"/>
    <tableColumn id="7" xr3:uid="{4EE96073-34A0-4218-ABC9-D03D89CDF2AB}" name="Likelihood of Events Occuring" dataDxfId="460"/>
    <tableColumn id="8" xr3:uid="{13719A4D-FA0B-49DF-BC5A-11D8A4CAA265}" name="Vulnerabilites and Predisposing Conditions" dataDxfId="459"/>
    <tableColumn id="9" xr3:uid="{3A5ACD1A-6DF4-40F1-84D4-2C9B6AFBF3C9}" name="Severity" dataDxfId="458"/>
    <tableColumn id="10" xr3:uid="{7B376614-C99A-420A-9B85-D192B2415E24}" name="Likelihood of Success" dataDxfId="457">
      <calculatedColumnFormula array="1">INDEX('G234'!$A$24:$A$28, MATCH(TRUE, ROUND(AVERAGE(VLOOKUP(I5, 'G234'!$A$14:$C$18, 3, FALSE), VLOOKUP(J5, 'F256'!$A$3:$C$7, 3, FALSE), VLOOKUP(K5, 'F256'!$A$39:$C$43, 3, FALSE)), 0) &gt;= 'G234'!$C$24:$C$28, 0))</calculatedColumnFormula>
    </tableColumn>
    <tableColumn id="11" xr3:uid="{02AC665B-39E8-44C2-9F35-4A5A7E84F1E1}" name="Overall Likelihood" dataDxfId="456">
      <calculatedColumnFormula array="1">INDEX('G234'!$A$24:$A$28, MATCH(TRUE, ROUND(AVERAGE(
    VLOOKUP(E5, 'D3456'!$A$23:$C$27, 3, FALSE),
    VLOOKUP(F5, 'D3456'!$A$32:$C$36, 3, FALSE),
    VLOOKUP(G5, 'D3456'!$A$4:$C$8, 3, FALSE)
) / 2, 0) &gt;= ('G234'!$C$24:$C$28) / 2, 0))</calculatedColumnFormula>
    </tableColumn>
    <tableColumn id="12" xr3:uid="{994C2979-C5AF-43F6-B6A8-BC5BB1349BF4}" name="Level of Impact" dataDxfId="455"/>
    <tableColumn id="13" xr3:uid="{CB7DB9DE-2488-420D-A5DF-C0EEF184EC9C}" name="Risk" dataDxfId="454">
      <calculatedColumnFormula>INDEX($V$16:$Z$20,MATCH(Table4335[[#This Row],[Overall Likelihood]],$U$16:$U$20,0),MATCH(Table4335[[#This Row],[Level of Impact]],$V$15:$Z$15,0))</calculatedColumnFormula>
    </tableColumn>
    <tableColumn id="16" xr3:uid="{E898FFE5-060B-49CB-9A8A-73533A143970}" name="Control Effectiveness" dataDxfId="453"/>
    <tableColumn id="17" xr3:uid="{4B3E94DD-3C85-43CD-ADAF-9FCC8452A317}" name="Residual Risk" dataDxfId="452">
      <calculatedColumnFormula>INDEX('Control Effectiveness Assessmen'!$A$13:$A$17, MATCH(
ROUND(VLOOKUP(O5, 'Control Effectiveness Assessmen'!$A$13:$B$17, 2, FALSE) * (1 - (VLOOKUP(P5, 'Control Effectiveness Assessmen'!$A$13:$B$17, 2, FALSE) / 10)), 0),
'Control Effectiveness Assessmen'!$B$13:$B$17, 0))</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7A088D6-C120-4412-9C1B-64BB12DF0CA8}" name="Table5131633937" displayName="Table5131633937" ref="U15:Z20" totalsRowShown="0" headerRowDxfId="451" dataDxfId="450" tableBorderDxfId="449" headerRowCellStyle="Normal" dataCellStyle="Normal">
  <autoFilter ref="U15:Z20" xr:uid="{97A088D6-C120-4412-9C1B-64BB12DF0CA8}"/>
  <tableColumns count="6">
    <tableColumn id="1" xr3:uid="{54777D16-0A30-4852-9E2D-755ECA0A44F2}" name="Overall Likelihood" dataDxfId="448" dataCellStyle="Normal"/>
    <tableColumn id="2" xr3:uid="{5B3AB624-DB1C-46FE-9201-37B49A8A9ECA}" name="Very Low" dataDxfId="447" dataCellStyle="Normal"/>
    <tableColumn id="3" xr3:uid="{21244291-B84F-4AA7-8107-844D679F997C}" name="Low" dataDxfId="446" dataCellStyle="Normal"/>
    <tableColumn id="4" xr3:uid="{12024586-0254-4CC8-A088-B577BB9EA092}" name="Moderate" dataDxfId="445" dataCellStyle="Normal"/>
    <tableColumn id="5" xr3:uid="{6BD998A3-F75E-4C28-9AD4-AED0298BB045}" name="High" dataDxfId="444" dataCellStyle="Normal"/>
    <tableColumn id="6" xr3:uid="{98852DF9-60C6-4675-902A-36063703F2C9}" name="Very High" dataDxfId="443" dataCellStyle="Norma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1041E41-EF65-4EC2-A14A-760932A9A053}" name="Table37" displayName="Table37" ref="AF4:AT5" totalsRowShown="0" headerRowDxfId="442" dataDxfId="440" headerRowBorderDxfId="441" tableBorderDxfId="439" totalsRowBorderDxfId="438">
  <autoFilter ref="AF4:AT5" xr:uid="{E1041E41-EF65-4EC2-A14A-760932A9A053}"/>
  <tableColumns count="15">
    <tableColumn id="1" xr3:uid="{849DFF64-C63B-490D-B5D1-884CA4C50107}" name="Threat Events" dataDxfId="437"/>
    <tableColumn id="2" xr3:uid="{C44513A3-4E39-4BEB-B688-ACE52912C3DF}" name="Threat Source" dataDxfId="436"/>
    <tableColumn id="12" xr3:uid="{F25BC01E-68E4-4BDF-B8FE-6CF9EAD10185}" name="Vulnerabilitiy ID" dataDxfId="435"/>
    <tableColumn id="14" xr3:uid="{5CDF9CBB-E940-4D62-8B09-9E175CADB8D9}" name="Security Controls" dataDxfId="434"/>
    <tableColumn id="3" xr3:uid="{E0B592A9-B078-4C99-9FD0-65BAFA07A909}" name="Range of Effects" dataDxfId="433"/>
    <tableColumn id="4" xr3:uid="{63E1F24B-BBC5-449F-AFA6-8A8734A26B27}" name="Relevancy" dataDxfId="432"/>
    <tableColumn id="5" xr3:uid="{A2BC954C-5790-40B5-8AAC-16A2A537D814}" name="Likelihood of Events Occuring" dataDxfId="431"/>
    <tableColumn id="6" xr3:uid="{507EB4FE-878F-4FC2-8117-59F1C382C9B7}" name="Vulnerabilites and Predisposing Conditions" dataDxfId="430"/>
    <tableColumn id="7" xr3:uid="{37F5AC43-CB7D-41A4-A819-66C6D2025762}" name="Severity" dataDxfId="429"/>
    <tableColumn id="8" xr3:uid="{D3C8C1A5-C412-4129-B804-B5CB0F61C749}" name="Likelihood of Impact" dataDxfId="428">
      <calculatedColumnFormula array="1">INDEX('G234'!$A$24:$A$28, MATCH(TRUE, ROUND(AVERAGE(VLOOKUP(AL5, 'G234'!$A$14:$C$18, 3, FALSE), VLOOKUP(AM5, 'F256'!$A$3:$C$7, 3, FALSE), VLOOKUP(AN5, 'F256'!$A$39:$C$43, 3, FALSE)), 0) &gt;= 'G234'!$C$24:$C$28, 0))</calculatedColumnFormula>
    </tableColumn>
    <tableColumn id="9" xr3:uid="{F3973FD6-A5BB-4DFC-B38D-0571BB5D884B}" name="Overall Likelihoood" dataDxfId="427">
      <calculatedColumnFormula array="1">INDEX('G234'!$A$24:$A$28, MATCH(TRUE, VLOOKUP(AJ5, 'D3456'!$A$14:$C$18, 3, FALSE) &gt;= 'G234'!$C$24:$C$28, 0))</calculatedColumnFormula>
    </tableColumn>
    <tableColumn id="10" xr3:uid="{CCB71C44-7E78-45BE-9E7A-5012F34D40EC}" name="Level of Impact" dataDxfId="426"/>
    <tableColumn id="11" xr3:uid="{28BB52FB-AF3E-4770-B48F-9B5D9CE9830D}" name="Risk" dataDxfId="425">
      <calculatedColumnFormula>INDEX($V$16:$Z$20,MATCH(Table37[[#This Row],[Overall Likelihoood]],$U$16:$U$20,0),MATCH(Table37[[#This Row],[Level of Impact]],$V$15:$Z$15,0))</calculatedColumnFormula>
    </tableColumn>
    <tableColumn id="13" xr3:uid="{EB8D8878-5B46-4EDE-9D0E-202464AD955A}" name="Control Effectiveness" dataDxfId="424"/>
    <tableColumn id="15" xr3:uid="{9344CD74-3733-4CFA-BE2B-2B07218985CD}" name="Residual Risk" dataDxfId="423">
      <calculatedColumnFormula>INDEX('Control Effectiveness Assessmen'!$A$13:$A$17, MATCH(
ROUND(VLOOKUP(AR5, 'Control Effectiveness Assessmen'!$A$13:$B$17, 2, FALSE) * (1 - (VLOOKUP(AS5, 'Control Effectiveness Assessmen'!$A$13:$B$17, 2, FALSE) / 10)), 0),
'Control Effectiveness Assessmen'!$B$13:$B$17, 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1F9126-F375-4D3D-BC1A-9F233CD49E76}" name="Table1" displayName="Table1" ref="A1:J11" totalsRowShown="0" headerRowDxfId="422">
  <autoFilter ref="A1:J11" xr:uid="{121F9126-F375-4D3D-BC1A-9F233CD49E76}"/>
  <tableColumns count="10">
    <tableColumn id="1" xr3:uid="{CAB7A332-A70F-4B29-BAF2-9482E423DDC3}" name="ID"/>
    <tableColumn id="2" xr3:uid="{FB760690-AD3C-45C0-93E6-F91755EE87F2}" name="Name"/>
    <tableColumn id="3" xr3:uid="{8827039B-7799-4F83-8921-2E13F33000F5}" name="CVE"/>
    <tableColumn id="4" xr3:uid="{328DC7AF-1344-4133-A827-43C3A701B792}" name="Description"/>
    <tableColumn id="5" xr3:uid="{84222EA8-B45D-46E3-9B97-5A4B53512814}" name="Category"/>
    <tableColumn id="6" xr3:uid="{C8B018A8-BCF9-47C3-8400-9ED91DEB5C35}" name="Discovery"/>
    <tableColumn id="7" xr3:uid="{670BB6E4-BD12-40FA-99C3-BA44DA7CBE54}" name="Discovery Date"/>
    <tableColumn id="8" xr3:uid="{0EEC3AA7-289C-453B-B546-8FB11CA37ED2}" name=" Affected Versions"/>
    <tableColumn id="9" xr3:uid="{0B976985-0D8C-4B5A-9191-61A05CE242C4}" name="Attack Vector"/>
    <tableColumn id="10" xr3:uid="{A57D0E8C-375C-42E1-BCF9-FDD6858FD881}" name="Impact Typ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DAF419C-7C23-4D6A-B02E-1D5D4ADD8F94}" name="Table11" displayName="Table11" ref="A2:E9" totalsRowShown="0" headerRowDxfId="471">
  <autoFilter ref="A2:E9" xr:uid="{CDAF419C-7C23-4D6A-B02E-1D5D4ADD8F94}"/>
  <tableColumns count="5">
    <tableColumn id="1" xr3:uid="{42A1D008-C293-40FD-B40F-B26941AD8AED}" name="ID"/>
    <tableColumn id="2" xr3:uid="{EC0B7D2C-3BDA-41B0-BF40-213A6750159E}" name="Source  Type"/>
    <tableColumn id="3" xr3:uid="{8D9AB8AE-670F-4EFC-8C99-4DE924A4B19E}" name="Description"/>
    <tableColumn id="4" xr3:uid="{4ADFAF73-7BC6-4741-8B16-C95CB8373404}" name="Characteristics"/>
    <tableColumn id="5" xr3:uid="{1B6EAFDA-2FE2-4C09-9363-E7C19C324A6B}" name="Associated Vulns"/>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B2188F-B25C-484C-A351-80F488679847}" name="Table2" displayName="Table2" ref="A1:B201" totalsRowShown="0" headerRowDxfId="421" dataDxfId="420">
  <autoFilter ref="A1:B201" xr:uid="{65B2188F-B25C-484C-A351-80F488679847}"/>
  <tableColumns count="2">
    <tableColumn id="1" xr3:uid="{2268874B-B9FA-4C03-89E5-31B55FFB8EAF}" name="Control ID" dataDxfId="419"/>
    <tableColumn id="2" xr3:uid="{6271244C-1BBF-4D10-BB48-41795E691666}" name="Control Name" dataDxfId="418"/>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460436-89DC-4214-9251-86ABC3245D8F}" name="Table6" displayName="Table6" ref="A2:D112" totalsRowShown="0" headerRowDxfId="417" dataDxfId="416">
  <autoFilter ref="A2:D112" xr:uid="{B8460436-89DC-4214-9251-86ABC3245D8F}"/>
  <tableColumns count="4">
    <tableColumn id="1" xr3:uid="{0A2866B9-6A34-47C1-BCE7-AA77600A1611}" name="Identifier" dataDxfId="415"/>
    <tableColumn id="2" xr3:uid="{93F33E55-A873-450B-9298-D3F5AA689B77}" name="Threat Event_x000a_ Source of Information" dataDxfId="414"/>
    <tableColumn id="3" xr3:uid="{E76B1D27-B7A4-414D-A514-BF4D2E029C24}" name="Threat Source" dataDxfId="413"/>
    <tableColumn id="4" xr3:uid="{143D8D9A-9CCF-436D-91AA-6FB12FF617A8}" name="Relevance" dataDxfId="41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E8520A-1ADB-4FC1-B39E-02D01CBC2BC0}" name="Table9" displayName="Table9" ref="A116:B209" totalsRowShown="0" headerRowDxfId="411" dataDxfId="410">
  <autoFilter ref="A116:B209" xr:uid="{7BE8520A-1ADB-4FC1-B39E-02D01CBC2BC0}"/>
  <sortState xmlns:xlrd2="http://schemas.microsoft.com/office/spreadsheetml/2017/richdata2" ref="A117:B209">
    <sortCondition ref="A117:A209"/>
  </sortState>
  <tableColumns count="2">
    <tableColumn id="1" xr3:uid="{8C7BFD52-89E2-472B-A2E2-CAA28D92C933}" name="Threat Events" dataDxfId="409"/>
    <tableColumn id="2" xr3:uid="{5F6F51B5-FAB6-4DF0-A366-DA49DB2343E7}" name="Description" dataDxfId="408"/>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04315F-BED3-4B55-A770-B3BA3C73648C}" name="Table10" displayName="Table10" ref="A212:B231" totalsRowShown="0" headerRowDxfId="407" dataDxfId="406">
  <autoFilter ref="A212:B231" xr:uid="{3B04315F-BED3-4B55-A770-B3BA3C73648C}"/>
  <tableColumns count="2">
    <tableColumn id="1" xr3:uid="{A1052023-606A-4E04-956E-83CF53448F78}" name="Threat Event" dataDxfId="405"/>
    <tableColumn id="2" xr3:uid="{298EC6B4-87B2-4AA8-BDE2-27AD07BD9C86}" name="Description" dataDxfId="404"/>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1C7034A-3B3F-4B89-BE04-5AA0960B5A98}" name="Table28" displayName="Table28" ref="A238:B244" totalsRowShown="0" headerRowDxfId="403" dataDxfId="402">
  <autoFilter ref="A238:B244" xr:uid="{91C7034A-3B3F-4B89-BE04-5AA0960B5A98}"/>
  <tableColumns count="2">
    <tableColumn id="1" xr3:uid="{65BDCE4C-1FDA-44C4-AAEF-A216CE01D81B}" name="Threat Events" dataDxfId="401"/>
    <tableColumn id="2" xr3:uid="{F194122E-08AE-4942-BA9D-0895D84BE185}" name="Description" dataDxfId="400"/>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F1A3FE4-4CB5-48C1-8CD6-2FD537B5C516}" name="Table126624" displayName="Table126624" ref="A2:F15" totalsRowShown="0" headerRowDxfId="399" dataDxfId="397" headerRowBorderDxfId="398">
  <autoFilter ref="A2:F15" xr:uid="{CF1A3FE4-4CB5-48C1-8CD6-2FD537B5C516}"/>
  <tableColumns count="6">
    <tableColumn id="1" xr3:uid="{F1392620-D6F6-403A-AAF4-073E69DA25BE}" name="Identifer" dataDxfId="396"/>
    <tableColumn id="2" xr3:uid="{3A9080AC-C73B-45BB-AB08-4D14264A0685}" name="Threat Source" dataDxfId="395"/>
    <tableColumn id="3" xr3:uid="{E4A19F60-8D06-47F4-BC29-03842D482734}" name="In Scope" dataDxfId="394"/>
    <tableColumn id="4" xr3:uid="{C6AE9FC7-0A2A-424A-8F92-018E75884089}" name="Capabilities" dataDxfId="393"/>
    <tableColumn id="5" xr3:uid="{47BFC177-DE5A-4516-99A2-4243C684E585}" name="Intent" dataDxfId="392"/>
    <tableColumn id="6" xr3:uid="{EEAE62AD-A0F5-47BC-BD47-42EE70E11642}" name="Targeting" dataDxfId="391"/>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7D5073-77FE-4588-B2F8-0CD00BE7CA46}" name="Table25" displayName="Table25" ref="A20:D48" totalsRowShown="0" headerRowDxfId="390" dataDxfId="389">
  <autoFilter ref="A20:D48" xr:uid="{2C7D5073-77FE-4588-B2F8-0CD00BE7CA46}"/>
  <tableColumns count="4">
    <tableColumn id="1" xr3:uid="{72D5418F-B6C1-4701-A2DB-E712EAE80B22}" name="Identifer" dataDxfId="388"/>
    <tableColumn id="2" xr3:uid="{FF141BD6-589C-4F87-A7FB-5E02E6E90DF1}" name="Threat Source" dataDxfId="387"/>
    <tableColumn id="3" xr3:uid="{C0E9FA4E-E061-40AB-A9A9-6AF094FCCC9C}" name="In Scope" dataDxfId="386"/>
    <tableColumn id="4" xr3:uid="{873E5B23-3B06-4FB1-84AE-44C8A33949DD}" name="Range of Effects" dataDxfId="385"/>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8C2F2B-5972-48A8-9A47-70E5F59C2732}" name="Table8" displayName="Table8" ref="F19:F59" totalsRowShown="0" headerRowDxfId="384" dataDxfId="383">
  <autoFilter ref="F19:F59" xr:uid="{CB8C2F2B-5972-48A8-9A47-70E5F59C2732}"/>
  <tableColumns count="1">
    <tableColumn id="1" xr3:uid="{DE454340-EE92-487F-84A5-1CAC3A5E3129}" name="Threat Sources full List" dataDxfId="382"/>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DC11E01-6622-4C34-B504-8301C5E552A5}" name="Table6223120" displayName="Table6223120" ref="A3:D8" totalsRowShown="0" headerRowDxfId="381" dataDxfId="380">
  <autoFilter ref="A3:D8" xr:uid="{5DC11E01-6622-4C34-B504-8301C5E552A5}"/>
  <tableColumns count="4">
    <tableColumn id="1" xr3:uid="{6F4AAF95-B770-4903-AE3F-8FF2743A2BE4}" name="Qualitative Values" dataDxfId="379"/>
    <tableColumn id="2" xr3:uid="{2E576217-25D5-485E-AF40-4347A7A4F1C4}" name="Semi Quantitative  Values" dataDxfId="378"/>
    <tableColumn id="3" xr3:uid="{41F55937-F4F7-492E-9BDA-C9F7C1C52663}" name="Semi Quantitative Values" dataDxfId="377"/>
    <tableColumn id="4" xr3:uid="{DF049EF6-34E7-454E-9849-2AAB39A5D586}" name="Description" dataDxfId="376"/>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E96230E-BFC7-4FBB-AA50-D4BD4CDCFE3F}" name="Table318293721" displayName="Table318293721" ref="A13:D18" totalsRowShown="0" headerRowDxfId="375" dataDxfId="374">
  <autoFilter ref="A13:D18" xr:uid="{7E96230E-BFC7-4FBB-AA50-D4BD4CDCFE3F}"/>
  <tableColumns count="4">
    <tableColumn id="1" xr3:uid="{FCEE7A91-2433-429C-9273-23C1DE03A9D4}" name="Qulitative Value" dataDxfId="373"/>
    <tableColumn id="2" xr3:uid="{8F5221C1-6205-4D7E-8FBE-D679488E1901}" name="Semi- Quantitative Value" dataDxfId="372"/>
    <tableColumn id="3" xr3:uid="{FFD19602-CCC5-4B39-A7C0-668D90C80CC4}" name="Semi-Quantitave Values" dataDxfId="371"/>
    <tableColumn id="4" xr3:uid="{BD6D8E4A-7D4A-4ACE-8EC7-890AB90A408A}" name="Description" dataDxfId="370"/>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E8A0E44-D39D-4A0A-A8CF-33D3580B3360}" name="Table3182922" displayName="Table3182922" ref="A22:D27" totalsRowShown="0" headerRowDxfId="369" dataDxfId="368">
  <autoFilter ref="A22:D27" xr:uid="{3E8A0E44-D39D-4A0A-A8CF-33D3580B3360}"/>
  <tableColumns count="4">
    <tableColumn id="1" xr3:uid="{A3488FB3-18FA-4150-9F7A-C9FF3A15C3B4}" name="Qulitative Value" dataDxfId="367"/>
    <tableColumn id="2" xr3:uid="{3F26FA1C-81B2-44E7-B952-EEEBECF08B73}" name="Semi- Quantitative Value" dataDxfId="366"/>
    <tableColumn id="3" xr3:uid="{0BACD6BF-2A38-4104-9523-E40F1CDDF25A}" name="Semi-Quantitave Values" dataDxfId="365"/>
    <tableColumn id="4" xr3:uid="{03F2DDEE-1C5E-4323-8FEA-84FCDCE5C71D}" name="Description" dataDxfId="364"/>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C8958AF-7EA7-4E48-B1AE-DCC5AA98E368}" name="Table4213023" displayName="Table4213023" ref="A31:D36" totalsRowShown="0" headerRowDxfId="363" dataDxfId="362">
  <autoFilter ref="A31:D36" xr:uid="{BC8958AF-7EA7-4E48-B1AE-DCC5AA98E368}"/>
  <tableColumns count="4">
    <tableColumn id="1" xr3:uid="{EBF52E33-1475-4A81-9404-054B3DE04292}" name="Qualitative Values" dataDxfId="361" dataCellStyle="Normal"/>
    <tableColumn id="2" xr3:uid="{C55A5376-CD7E-4A16-92E6-BE34997EBBD1}" name="Semi- Quantitative Values" dataDxfId="360"/>
    <tableColumn id="3" xr3:uid="{3A00C3A1-440E-4C76-BB8E-6B126488C6F8}" name="Values" dataDxfId="359"/>
    <tableColumn id="4" xr3:uid="{5FF9AD6A-B315-4C67-8D0B-DBEA415578A7}" name="Description" dataDxfId="358"/>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57BB120-20EF-4A84-A5B1-EFB5D9EEC9C2}" name="Table421302315" displayName="Table421302315" ref="A3:D8" totalsRowShown="0" headerRowDxfId="357" dataDxfId="356">
  <autoFilter ref="A3:D8" xr:uid="{A57BB120-20EF-4A84-A5B1-EFB5D9EEC9C2}"/>
  <tableColumns count="4">
    <tableColumn id="1" xr3:uid="{17348C3A-0617-4ED8-AA18-FC2A966AA078}" name="Qualitative Values" dataDxfId="355" dataCellStyle="Normal"/>
    <tableColumn id="2" xr3:uid="{39667686-1E23-421D-BF10-EF887A3D24AD}" name="Semi- Quantitative Values" dataDxfId="354"/>
    <tableColumn id="3" xr3:uid="{E7C3C3A2-39D9-4CF8-9079-FBDAD39E418E}" name="Values" dataDxfId="353"/>
    <tableColumn id="4" xr3:uid="{2E1C6BC4-792F-41F3-B9F5-13D193700BAF}" name="Description" dataDxfId="352"/>
  </tableColumns>
  <tableStyleInfo name="TableStyleMedium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1411F88-768C-419F-8877-D00F582BDD99}" name="Table12" displayName="Table12" ref="A2:D7" insertRowShift="1" totalsRowShown="0" headerRowDxfId="351" dataDxfId="350">
  <autoFilter ref="A2:D7" xr:uid="{61411F88-768C-419F-8877-D00F582BDD99}"/>
  <tableColumns count="4">
    <tableColumn id="1" xr3:uid="{235288CF-E1FA-4523-8670-B4A2EEF5A68C}" name="Qualitative_x000a_Values" dataDxfId="349"/>
    <tableColumn id="2" xr3:uid="{735FB901-CAFD-45CF-9B72-F4CC3C071D70}" name="Semi-Quantitative_x000a_Values" dataDxfId="348"/>
    <tableColumn id="3" xr3:uid="{B28D14AD-532C-45E1-B4ED-07A8576E6DDA}" name="Column1" dataDxfId="347"/>
    <tableColumn id="4" xr3:uid="{1337F875-BE28-4478-BB7B-F6770FF459CA}" name="Description" dataDxfId="346"/>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9A47E9-8D60-41AF-B7BC-034C645F4ABF}" name="Table165" displayName="Table165" ref="A12:C32" insertRowShift="1" totalsRowShown="0" headerRowDxfId="345" dataDxfId="344">
  <autoFilter ref="A12:C32" xr:uid="{6B9A47E9-8D60-41AF-B7BC-034C645F4ABF}"/>
  <tableColumns count="3">
    <tableColumn id="1" xr3:uid="{C0E58485-265B-4DBF-88AD-979AA9018012}" name="Identifier" dataDxfId="343"/>
    <tableColumn id="2" xr3:uid="{E16C00EC-B218-484C-8712-E392C90C2894}" name="Predisposing Condition Source of Information" dataDxfId="342"/>
    <tableColumn id="3" xr3:uid="{FE06576A-6BBC-4452-9AC9-A641499534DC}" name="Pervasiveness_x000a_of Condition" dataDxfId="341"/>
  </tableColumns>
  <tableStyleInfo name="TableStyleMedium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C46C4F7-F35C-43C4-AAE0-ED08F42F167E}" name="Table1227" displayName="Table1227" ref="A38:D43" insertRowShift="1" totalsRowShown="0" headerRowDxfId="340" dataDxfId="339">
  <autoFilter ref="A38:D43" xr:uid="{1C46C4F7-F35C-43C4-AAE0-ED08F42F167E}"/>
  <tableColumns count="4">
    <tableColumn id="1" xr3:uid="{658311F6-A680-453F-B23A-F3D3D89058C0}" name="Qualitative_x000a_Values" dataDxfId="338"/>
    <tableColumn id="2" xr3:uid="{6E99570F-7B76-4591-8BD4-773D3B8EB99C}" name="Semi-Quantitative_x000a_Values" dataDxfId="337"/>
    <tableColumn id="3" xr3:uid="{C1A34F84-28F3-4736-9DFC-F2DD0E8FA545}" name="Values" dataDxfId="336"/>
    <tableColumn id="4" xr3:uid="{30F3DC14-F224-4DC1-8FFB-DF12EBD2CD23}" name="Description" dataDxfId="335"/>
  </tableColumns>
  <tableStyleInfo name="TableStyleMedium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0B4E553-11A8-45BC-923A-E0BC243BAD95}" name="Table4213042" displayName="Table4213042" ref="A3:D8" totalsRowShown="0" headerRowDxfId="334" dataDxfId="333">
  <autoFilter ref="A3:D8" xr:uid="{20B4E553-11A8-45BC-923A-E0BC243BAD95}"/>
  <tableColumns count="4">
    <tableColumn id="1" xr3:uid="{A2171561-C103-417A-ACEC-2E0239B908B3}" name="Qualitative Values" dataDxfId="332"/>
    <tableColumn id="2" xr3:uid="{410DED0F-2F4B-42D7-A940-D0F40BADCAA2}" name="Semi- Quantitative Values" dataDxfId="331"/>
    <tableColumn id="3" xr3:uid="{93C38328-D2F4-4106-986E-8463E55EB5F6}" name="Values" dataDxfId="330"/>
    <tableColumn id="4" xr3:uid="{B433D63E-86C3-459F-AC85-31970D88DA71}" name="Description" dataDxfId="329"/>
  </tableColumns>
  <tableStyleInfo name="TableStyleMedium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FE74D5C-2BB9-451F-86B3-A1DBFBAD0E02}" name="Table421304249" displayName="Table421304249" ref="A13:D18" totalsRowShown="0" headerRowDxfId="328" dataDxfId="327">
  <autoFilter ref="A13:D18" xr:uid="{9FE74D5C-2BB9-451F-86B3-A1DBFBAD0E02}"/>
  <tableColumns count="4">
    <tableColumn id="1" xr3:uid="{CB3B3613-7E03-481B-AE73-3473C7FEC81B}" name="Qualitative Values" dataDxfId="326"/>
    <tableColumn id="2" xr3:uid="{64F91C32-4765-441D-AC0C-24F5F28CF972}" name="Semi- Quantitative Values" dataDxfId="325"/>
    <tableColumn id="3" xr3:uid="{CD1999AA-79D9-4E76-AEE3-2A979942E197}" name="Values" dataDxfId="324"/>
    <tableColumn id="4" xr3:uid="{4C0694D9-7177-4BFD-8057-8327E7791A84}" name="Description" dataDxfId="323"/>
  </tableColumns>
  <tableStyleInfo name="TableStyleLight15"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510CE87-253E-4D77-9F8C-A0F2FBCB3266}" name="Table42130424951" displayName="Table42130424951" ref="A23:D28" totalsRowShown="0" headerRowDxfId="322" dataDxfId="321">
  <autoFilter ref="A23:D28" xr:uid="{9510CE87-253E-4D77-9F8C-A0F2FBCB3266}"/>
  <tableColumns count="4">
    <tableColumn id="1" xr3:uid="{D535BD8F-8E6C-4D79-B81B-A8FE8A23C183}" name="Qualitative Values" dataDxfId="320"/>
    <tableColumn id="2" xr3:uid="{FD4A9E29-BD44-45BF-86E4-A5CD94DC8471}" name="Semi- Quantitative Values" dataDxfId="319"/>
    <tableColumn id="3" xr3:uid="{51EC431D-BADC-4C43-9064-02DE405501EF}" name="Values" dataDxfId="318"/>
    <tableColumn id="4" xr3:uid="{2FB659DA-6E63-49B9-9DA6-FFF6DBEEC22C}" name="Description" dataDxfId="317"/>
  </tableColumns>
  <tableStyleInfo name="TableStyleMedium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9C450F9-2DE4-4752-A43C-71D65A243535}" name="Table18" displayName="Table18" ref="A2:D7" insertRowShift="1" totalsRowShown="0" headerRowDxfId="316" dataDxfId="315">
  <autoFilter ref="A2:D7" xr:uid="{D9C450F9-2DE4-4752-A43C-71D65A243535}"/>
  <tableColumns count="4">
    <tableColumn id="1" xr3:uid="{82B6B747-58D3-4C0D-884A-1EF98C1DFD89}" name="Qualitative_x000a_Values" dataDxfId="314"/>
    <tableColumn id="2" xr3:uid="{50EF688C-CD89-4528-9DE3-5EEFBA94B862}" name="Semi-Quantitative_x000a_Values " dataDxfId="313"/>
    <tableColumn id="3" xr3:uid="{40525C4B-DB43-4690-A9B9-EA358AC71CAC}" name="Column1" dataDxfId="312"/>
    <tableColumn id="4" xr3:uid="{4691F56A-ABD2-42A2-9A79-0530893E0428}" name="Description" dataDxfId="311"/>
  </tableColumns>
  <tableStyleInfo name="TableStyleMedium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5DD3F8-0FAC-490E-959F-E7311E1EA5F2}" name="Table194" displayName="Table194" ref="A13:C46" insertRowShift="1" totalsRowShown="0" headerRowDxfId="310" dataDxfId="309">
  <autoFilter ref="A13:C46" xr:uid="{3F5DD3F8-0FAC-490E-959F-E7311E1EA5F2}"/>
  <tableColumns count="3">
    <tableColumn id="1" xr3:uid="{3DB5F523-F2FE-4323-AEE1-DE0585EFA8F8}" name="Type of Impact " dataDxfId="308"/>
    <tableColumn id="2" xr3:uid="{825489C1-4E50-4F9E-A1B2-3CA41D54A739}" name="Impact_x000a_ Affected Asset" dataDxfId="307"/>
    <tableColumn id="3" xr3:uid="{BBD059F3-1803-4A82-93FE-044128C64F4C}" name="Maximum Impact" dataDxfId="30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2.bin"/><Relationship Id="rId5" Type="http://schemas.openxmlformats.org/officeDocument/2006/relationships/table" Target="../tables/table10.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3.bin"/><Relationship Id="rId5" Type="http://schemas.openxmlformats.org/officeDocument/2006/relationships/table" Target="../tables/table17.xml"/><Relationship Id="rId4"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5.bin"/><Relationship Id="rId4" Type="http://schemas.openxmlformats.org/officeDocument/2006/relationships/table" Target="../tables/table2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6.bin"/><Relationship Id="rId4" Type="http://schemas.openxmlformats.org/officeDocument/2006/relationships/table" Target="../tables/table2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F94C-D076-42A6-A70A-61C78685E884}">
  <dimension ref="A1:AV31"/>
  <sheetViews>
    <sheetView tabSelected="1" zoomScale="43" zoomScaleNormal="39" workbookViewId="0">
      <selection activeCell="AF4" sqref="AF4:AT5"/>
    </sheetView>
  </sheetViews>
  <sheetFormatPr defaultColWidth="8.85546875" defaultRowHeight="15" x14ac:dyDescent="0.25"/>
  <cols>
    <col min="1" max="1" width="71.28515625" style="2" customWidth="1"/>
    <col min="2" max="2" width="29.42578125" style="2" customWidth="1"/>
    <col min="3" max="3" width="19.7109375" style="2" customWidth="1"/>
    <col min="4" max="4" width="34.42578125" style="2" customWidth="1"/>
    <col min="5" max="5" width="32" style="2" customWidth="1"/>
    <col min="6" max="6" width="19.7109375" style="2" customWidth="1"/>
    <col min="7" max="7" width="19.85546875" style="2" customWidth="1"/>
    <col min="8" max="8" width="46.28515625" style="2" customWidth="1"/>
    <col min="9" max="9" width="49.28515625" style="2" customWidth="1"/>
    <col min="10" max="10" width="39.5703125" style="2" customWidth="1"/>
    <col min="11" max="11" width="24.140625" style="2" customWidth="1"/>
    <col min="12" max="12" width="32.7109375" style="2" customWidth="1"/>
    <col min="13" max="13" width="24.28515625" style="2" customWidth="1"/>
    <col min="14" max="14" width="20.28515625" style="2" customWidth="1"/>
    <col min="15" max="15" width="18" style="2" customWidth="1"/>
    <col min="16" max="16" width="16.7109375" style="2" customWidth="1"/>
    <col min="17" max="17" width="16.85546875" style="2" customWidth="1"/>
    <col min="18" max="20" width="8.85546875" style="2"/>
    <col min="21" max="21" width="29.28515625" style="2" customWidth="1"/>
    <col min="22" max="22" width="23" style="2" customWidth="1"/>
    <col min="23" max="23" width="17.7109375" style="2" customWidth="1"/>
    <col min="24" max="24" width="21" style="2" customWidth="1"/>
    <col min="25" max="25" width="19.5703125" style="2" customWidth="1"/>
    <col min="26" max="26" width="34.28515625" style="2" customWidth="1"/>
    <col min="27" max="31" width="8.85546875" style="2"/>
    <col min="32" max="33" width="44.7109375" style="2" customWidth="1"/>
    <col min="34" max="34" width="37.5703125" style="2" customWidth="1"/>
    <col min="35" max="35" width="46.5703125" style="2" customWidth="1"/>
    <col min="36" max="36" width="42.140625" style="2" customWidth="1"/>
    <col min="37" max="37" width="30.85546875" style="2" customWidth="1"/>
    <col min="38" max="38" width="22.85546875" style="2" customWidth="1"/>
    <col min="39" max="39" width="24.28515625" style="2" customWidth="1"/>
    <col min="40" max="40" width="25.140625" style="2" customWidth="1"/>
    <col min="41" max="41" width="23.140625" style="2" customWidth="1"/>
    <col min="42" max="42" width="23.85546875" style="2" customWidth="1"/>
    <col min="43" max="43" width="17.28515625" style="2" customWidth="1"/>
    <col min="44" max="44" width="12.28515625" style="2" customWidth="1"/>
    <col min="45" max="45" width="20" style="2" customWidth="1"/>
    <col min="46" max="46" width="17.42578125" style="2" customWidth="1"/>
    <col min="47" max="16384" width="8.85546875" style="2"/>
  </cols>
  <sheetData>
    <row r="1" spans="1:48" ht="15" customHeight="1" x14ac:dyDescent="0.3">
      <c r="A1" s="63"/>
      <c r="B1" s="63"/>
      <c r="C1" s="63"/>
      <c r="D1" s="63"/>
      <c r="E1" s="63"/>
      <c r="F1" s="63"/>
      <c r="G1" s="63"/>
      <c r="H1" s="63"/>
      <c r="I1" s="63"/>
      <c r="J1" s="63"/>
      <c r="K1" s="63"/>
      <c r="L1" s="63"/>
      <c r="M1" s="63"/>
      <c r="N1" s="63"/>
      <c r="O1" s="63"/>
      <c r="U1" s="87" t="s">
        <v>1057</v>
      </c>
      <c r="V1" s="87"/>
      <c r="W1" s="87"/>
      <c r="X1" s="87"/>
      <c r="Y1" s="87"/>
      <c r="Z1" s="87"/>
    </row>
    <row r="2" spans="1:48" ht="15" customHeight="1" x14ac:dyDescent="0.3">
      <c r="A2" s="63"/>
      <c r="B2" s="63"/>
      <c r="C2" s="63"/>
      <c r="D2" s="63"/>
      <c r="E2" s="63"/>
      <c r="F2" s="63"/>
      <c r="G2" s="63"/>
      <c r="H2" s="63"/>
      <c r="I2" s="63"/>
      <c r="J2" s="63"/>
      <c r="K2" s="63"/>
      <c r="L2" s="63"/>
      <c r="M2" s="63"/>
      <c r="N2" s="63"/>
      <c r="O2" s="63"/>
      <c r="U2" s="87"/>
      <c r="V2" s="87"/>
      <c r="W2" s="87"/>
      <c r="X2" s="87"/>
      <c r="Y2" s="87"/>
      <c r="Z2" s="87"/>
    </row>
    <row r="3" spans="1:48" ht="19.5" customHeight="1" x14ac:dyDescent="0.25">
      <c r="A3" s="86" t="s">
        <v>0</v>
      </c>
      <c r="B3" s="86"/>
      <c r="C3" s="86"/>
      <c r="D3" s="86"/>
      <c r="E3" s="86"/>
      <c r="F3" s="86"/>
      <c r="G3" s="86"/>
      <c r="H3" s="86"/>
      <c r="I3" s="86"/>
      <c r="J3" s="86"/>
      <c r="K3" s="86"/>
      <c r="L3" s="86"/>
      <c r="M3" s="86"/>
      <c r="N3" s="86"/>
      <c r="O3" s="86"/>
      <c r="P3" s="86"/>
      <c r="Q3" s="86"/>
      <c r="U3" s="64"/>
      <c r="V3" s="64"/>
      <c r="W3" s="64"/>
      <c r="X3" s="64"/>
      <c r="Y3" s="64"/>
      <c r="Z3" s="64"/>
      <c r="AF3" s="88" t="s">
        <v>973</v>
      </c>
      <c r="AG3" s="88"/>
      <c r="AH3" s="88"/>
      <c r="AI3" s="88"/>
      <c r="AJ3" s="88"/>
      <c r="AK3" s="88"/>
      <c r="AL3" s="88"/>
      <c r="AM3" s="88"/>
      <c r="AN3" s="88"/>
      <c r="AO3" s="88"/>
      <c r="AP3" s="88"/>
      <c r="AQ3" s="88"/>
      <c r="AR3" s="88"/>
      <c r="AS3" s="88"/>
      <c r="AT3" s="88"/>
    </row>
    <row r="4" spans="1:48" ht="31.5" customHeight="1" x14ac:dyDescent="0.35">
      <c r="A4" s="9" t="s">
        <v>1</v>
      </c>
      <c r="B4" s="9" t="s">
        <v>2</v>
      </c>
      <c r="C4" s="9" t="s">
        <v>3</v>
      </c>
      <c r="D4" s="9" t="s">
        <v>4</v>
      </c>
      <c r="E4" s="9" t="s">
        <v>5</v>
      </c>
      <c r="F4" s="9" t="s">
        <v>6</v>
      </c>
      <c r="G4" s="9" t="s">
        <v>7</v>
      </c>
      <c r="H4" s="9" t="s">
        <v>8</v>
      </c>
      <c r="I4" s="9" t="s">
        <v>9</v>
      </c>
      <c r="J4" s="9" t="s">
        <v>10</v>
      </c>
      <c r="K4" s="9" t="s">
        <v>11</v>
      </c>
      <c r="L4" s="9" t="s">
        <v>12</v>
      </c>
      <c r="M4" s="9" t="s">
        <v>13</v>
      </c>
      <c r="N4" s="9" t="s">
        <v>14</v>
      </c>
      <c r="O4" s="9" t="s">
        <v>15</v>
      </c>
      <c r="P4" s="9" t="s">
        <v>970</v>
      </c>
      <c r="Q4" s="9" t="s">
        <v>971</v>
      </c>
      <c r="W4" s="90"/>
      <c r="X4" s="90"/>
      <c r="AF4" s="9" t="s">
        <v>1</v>
      </c>
      <c r="AG4" s="9" t="s">
        <v>2</v>
      </c>
      <c r="AH4" s="9" t="s">
        <v>16</v>
      </c>
      <c r="AI4" s="9" t="s">
        <v>4</v>
      </c>
      <c r="AJ4" s="9" t="s">
        <v>17</v>
      </c>
      <c r="AK4" s="9" t="s">
        <v>8</v>
      </c>
      <c r="AL4" s="9" t="s">
        <v>9</v>
      </c>
      <c r="AM4" s="9" t="s">
        <v>10</v>
      </c>
      <c r="AN4" s="9" t="s">
        <v>11</v>
      </c>
      <c r="AO4" s="9" t="s">
        <v>18</v>
      </c>
      <c r="AP4" s="9" t="s">
        <v>19</v>
      </c>
      <c r="AQ4" s="9" t="s">
        <v>14</v>
      </c>
      <c r="AR4" s="9" t="s">
        <v>15</v>
      </c>
      <c r="AS4" s="73" t="s">
        <v>970</v>
      </c>
      <c r="AT4" s="73" t="s">
        <v>971</v>
      </c>
    </row>
    <row r="5" spans="1:48" ht="29.25" customHeight="1" x14ac:dyDescent="0.25">
      <c r="A5" s="57" t="s">
        <v>545</v>
      </c>
      <c r="B5" s="37" t="s">
        <v>21</v>
      </c>
      <c r="C5" s="37" t="s">
        <v>976</v>
      </c>
      <c r="D5" s="37" t="s">
        <v>998</v>
      </c>
      <c r="E5" s="83" t="s">
        <v>24</v>
      </c>
      <c r="F5" s="83" t="s">
        <v>24</v>
      </c>
      <c r="G5" s="83" t="s">
        <v>24</v>
      </c>
      <c r="H5" s="83" t="s">
        <v>436</v>
      </c>
      <c r="I5" s="83" t="s">
        <v>24</v>
      </c>
      <c r="J5" s="83" t="s">
        <v>24</v>
      </c>
      <c r="K5" s="83" t="s">
        <v>24</v>
      </c>
      <c r="L5" s="83" t="s">
        <v>24</v>
      </c>
      <c r="M5" s="83" t="str" cm="1">
        <f t="array" ref="M5">INDEX('G234'!$A$24:$A$28, MATCH(TRUE, ROUND(AVERAGE(
    VLOOKUP(E5, 'D3456'!$A$23:$C$27, 3, FALSE),
    VLOOKUP(F5, 'D3456'!$A$32:$C$36, 3, FALSE),
    VLOOKUP(G5, 'D3456'!$A$4:$C$8, 3, FALSE)
) / 2, 0) &gt;= ('G234'!$C$24:$C$28) / 2, 0))</f>
        <v>High</v>
      </c>
      <c r="N5" s="83" t="s">
        <v>24</v>
      </c>
      <c r="O5" s="83" t="str">
        <f>INDEX($V$16:$Z$20,MATCH(Table4335[[#This Row],[Overall Likelihood]],$U$16:$U$20,0),MATCH(Table4335[[#This Row],[Level of Impact]],$V$15:$Z$15,0))</f>
        <v>High</v>
      </c>
      <c r="P5" s="83" t="s">
        <v>26</v>
      </c>
      <c r="Q5" s="83" t="str">
        <f>INDEX('Control Effectiveness Assessmen'!$A$13:$A$17, MATCH(
ROUND(VLOOKUP(O5, 'Control Effectiveness Assessmen'!$A$13:$B$17, 2, FALSE) * (1 - (VLOOKUP(P5, 'Control Effectiveness Assessmen'!$A$13:$B$17, 2, FALSE) / 10)), 0),
'Control Effectiveness Assessmen'!$B$13:$B$17, 0))</f>
        <v>Moderate</v>
      </c>
      <c r="AF5" s="20" t="s">
        <v>742</v>
      </c>
      <c r="AG5" s="5" t="s">
        <v>786</v>
      </c>
      <c r="AH5" s="5" t="s">
        <v>983</v>
      </c>
      <c r="AI5" s="5" t="s">
        <v>1056</v>
      </c>
      <c r="AJ5" s="5" t="s">
        <v>24</v>
      </c>
      <c r="AK5" s="5" t="s">
        <v>436</v>
      </c>
      <c r="AL5" s="5" t="s">
        <v>24</v>
      </c>
      <c r="AM5" s="5" t="s">
        <v>26</v>
      </c>
      <c r="AN5" s="19" t="s">
        <v>26</v>
      </c>
      <c r="AO5" s="19" t="s">
        <v>24</v>
      </c>
      <c r="AP5" s="19" t="str" cm="1">
        <f t="array" ref="AP5">INDEX('G234'!$A$24:$A$28, MATCH(TRUE, VLOOKUP(AJ5, 'D3456'!$A$14:$C$18, 3, FALSE) &gt;= 'G234'!$C$24:$C$28, 0))</f>
        <v>High</v>
      </c>
      <c r="AQ5" s="83" t="s">
        <v>24</v>
      </c>
      <c r="AR5" s="71" t="str">
        <f>INDEX($V$16:$Z$20,MATCH(Table37[[#This Row],[Overall Likelihoood]],$U$16:$U$20,0),MATCH(Table37[[#This Row],[Level of Impact]],$V$15:$Z$15,0))</f>
        <v>High</v>
      </c>
      <c r="AS5" s="19" t="s">
        <v>26</v>
      </c>
      <c r="AT5" s="71" t="str">
        <f>INDEX('Control Effectiveness Assessmen'!$A$13:$A$17, MATCH(
ROUND(VLOOKUP(AR5, 'Control Effectiveness Assessmen'!$A$13:$B$17, 2, FALSE) * (1 - (VLOOKUP(AS5, 'Control Effectiveness Assessmen'!$A$13:$B$17, 2, FALSE) / 10)), 0),
'Control Effectiveness Assessmen'!$B$13:$B$17, 0))</f>
        <v>Moderate</v>
      </c>
    </row>
    <row r="6" spans="1:48" ht="27" customHeight="1" x14ac:dyDescent="0.25">
      <c r="A6" s="57" t="s">
        <v>598</v>
      </c>
      <c r="B6" s="37" t="s">
        <v>21</v>
      </c>
      <c r="C6" s="37" t="s">
        <v>989</v>
      </c>
      <c r="D6" s="37" t="s">
        <v>996</v>
      </c>
      <c r="E6" s="83" t="s">
        <v>24</v>
      </c>
      <c r="F6" s="83" t="s">
        <v>24</v>
      </c>
      <c r="G6" s="83" t="s">
        <v>24</v>
      </c>
      <c r="H6" s="83" t="s">
        <v>436</v>
      </c>
      <c r="I6" s="83" t="s">
        <v>24</v>
      </c>
      <c r="J6" s="83" t="s">
        <v>24</v>
      </c>
      <c r="K6" s="83" t="s">
        <v>24</v>
      </c>
      <c r="L6" s="83" t="s">
        <v>24</v>
      </c>
      <c r="M6" s="83" t="str" cm="1">
        <f t="array" ref="M6">INDEX('G234'!$A$24:$A$28, MATCH(TRUE, ROUND(AVERAGE(
    VLOOKUP(E6, 'D3456'!$A$23:$C$27, 3, FALSE),
    VLOOKUP(F6, 'D3456'!$A$32:$C$36, 3, FALSE),
    VLOOKUP(G6, 'D3456'!$A$4:$C$8, 3, FALSE)
) / 2, 0) &gt;= ('G234'!$C$24:$C$28) / 2, 0))</f>
        <v>High</v>
      </c>
      <c r="N6" s="83" t="s">
        <v>25</v>
      </c>
      <c r="O6" s="83" t="str">
        <f>INDEX($V$16:$Z$20,MATCH(Table4335[[#This Row],[Overall Likelihood]],$U$16:$U$20,0),MATCH(Table4335[[#This Row],[Level of Impact]],$V$15:$Z$15,0))</f>
        <v>Very High</v>
      </c>
      <c r="P6" s="83" t="s">
        <v>26</v>
      </c>
      <c r="Q6" s="83" t="str">
        <f>INDEX('Control Effectiveness Assessmen'!$A$13:$A$17, MATCH(
ROUND(VLOOKUP(O6, 'Control Effectiveness Assessmen'!$A$13:$B$17, 2, FALSE) * (1 - (VLOOKUP(P6, 'Control Effectiveness Assessmen'!$A$13:$B$17, 2, FALSE) / 10)), 0),
'Control Effectiveness Assessmen'!$B$13:$B$17, 0))</f>
        <v>High</v>
      </c>
      <c r="AF6" s="20"/>
      <c r="AG6" s="5"/>
      <c r="AH6" s="5"/>
      <c r="AI6" s="5"/>
      <c r="AJ6" s="5"/>
      <c r="AK6" s="5"/>
      <c r="AL6" s="5"/>
      <c r="AM6" s="5"/>
      <c r="AN6" s="19"/>
      <c r="AO6" s="5"/>
      <c r="AP6" s="19"/>
      <c r="AQ6" s="19"/>
      <c r="AR6" s="71"/>
      <c r="AS6" s="19"/>
      <c r="AT6" s="71"/>
    </row>
    <row r="7" spans="1:48" ht="30" x14ac:dyDescent="0.25">
      <c r="A7" s="57" t="s">
        <v>30</v>
      </c>
      <c r="B7" s="37" t="s">
        <v>21</v>
      </c>
      <c r="C7" s="37" t="s">
        <v>981</v>
      </c>
      <c r="D7" s="37" t="s">
        <v>997</v>
      </c>
      <c r="E7" s="83" t="s">
        <v>24</v>
      </c>
      <c r="F7" s="83" t="s">
        <v>24</v>
      </c>
      <c r="G7" s="83" t="s">
        <v>24</v>
      </c>
      <c r="H7" s="83" t="s">
        <v>436</v>
      </c>
      <c r="I7" s="83" t="s">
        <v>24</v>
      </c>
      <c r="J7" s="83" t="s">
        <v>24</v>
      </c>
      <c r="K7" s="83" t="s">
        <v>24</v>
      </c>
      <c r="L7" s="83" t="s">
        <v>24</v>
      </c>
      <c r="M7" s="83" t="str" cm="1">
        <f t="array" ref="M7">INDEX('G234'!$A$24:$A$28, MATCH(TRUE, ROUND(AVERAGE(
    VLOOKUP(E7, 'D3456'!$A$23:$C$27, 3, FALSE),
    VLOOKUP(F7, 'D3456'!$A$32:$C$36, 3, FALSE),
    VLOOKUP(G7, 'D3456'!$A$4:$C$8, 3, FALSE)
) / 2, 0) &gt;= ('G234'!$C$24:$C$28) / 2, 0))</f>
        <v>High</v>
      </c>
      <c r="N7" s="83" t="s">
        <v>24</v>
      </c>
      <c r="O7" s="83" t="str">
        <f>INDEX($V$16:$Z$20,MATCH(Table4335[[#This Row],[Overall Likelihood]],$U$16:$U$20,0),MATCH(Table4335[[#This Row],[Level of Impact]],$V$15:$Z$15,0))</f>
        <v>High</v>
      </c>
      <c r="P7" s="83" t="s">
        <v>26</v>
      </c>
      <c r="Q7" s="83" t="str">
        <f>INDEX('Control Effectiveness Assessmen'!$A$13:$A$17, MATCH(
ROUND(VLOOKUP(O7, 'Control Effectiveness Assessmen'!$A$13:$B$17, 2, FALSE) * (1 - (VLOOKUP(P7, 'Control Effectiveness Assessmen'!$A$13:$B$17, 2, FALSE) / 10)), 0),
'Control Effectiveness Assessmen'!$B$13:$B$17, 0))</f>
        <v>Moderate</v>
      </c>
      <c r="AF7" s="11"/>
      <c r="AG7" s="66"/>
      <c r="AH7" s="66"/>
      <c r="AI7" s="66"/>
      <c r="AJ7" s="67"/>
      <c r="AK7" s="67"/>
      <c r="AL7" s="67"/>
      <c r="AM7" s="66"/>
      <c r="AN7" s="67"/>
      <c r="AO7" s="67"/>
      <c r="AP7" s="67"/>
      <c r="AQ7" s="67"/>
      <c r="AR7" s="67"/>
      <c r="AS7" s="67"/>
      <c r="AT7" s="67"/>
      <c r="AU7" s="83"/>
      <c r="AV7" s="83"/>
    </row>
    <row r="8" spans="1:48" ht="30" x14ac:dyDescent="0.25">
      <c r="A8" s="57" t="s">
        <v>598</v>
      </c>
      <c r="B8" s="37" t="s">
        <v>21</v>
      </c>
      <c r="C8" s="37" t="s">
        <v>977</v>
      </c>
      <c r="D8" s="37" t="s">
        <v>991</v>
      </c>
      <c r="E8" s="83" t="s">
        <v>24</v>
      </c>
      <c r="F8" s="83" t="s">
        <v>24</v>
      </c>
      <c r="G8" s="83" t="s">
        <v>24</v>
      </c>
      <c r="H8" s="83" t="s">
        <v>436</v>
      </c>
      <c r="I8" s="83" t="s">
        <v>24</v>
      </c>
      <c r="J8" s="83" t="s">
        <v>24</v>
      </c>
      <c r="K8" s="83" t="s">
        <v>24</v>
      </c>
      <c r="L8" s="83" t="s">
        <v>24</v>
      </c>
      <c r="M8" s="83" t="str" cm="1">
        <f t="array" ref="M8">INDEX('G234'!$A$24:$A$28, MATCH(TRUE, ROUND(AVERAGE(
    VLOOKUP(E8, 'D3456'!$A$23:$C$27, 3, FALSE),
    VLOOKUP(F8, 'D3456'!$A$32:$C$36, 3, FALSE),
    VLOOKUP(G8, 'D3456'!$A$4:$C$8, 3, FALSE)
) / 2, 0) &gt;= ('G234'!$C$24:$C$28) / 2, 0))</f>
        <v>High</v>
      </c>
      <c r="N8" s="83" t="s">
        <v>24</v>
      </c>
      <c r="O8" s="83" t="str">
        <f>INDEX($V$16:$Z$20,MATCH(Table4335[[#This Row],[Overall Likelihood]],$U$16:$U$20,0),MATCH(Table4335[[#This Row],[Level of Impact]],$V$15:$Z$15,0))</f>
        <v>High</v>
      </c>
      <c r="P8" s="83" t="s">
        <v>26</v>
      </c>
      <c r="Q8" s="83" t="str">
        <f>INDEX('Control Effectiveness Assessmen'!$A$13:$A$17, MATCH(
ROUND(VLOOKUP(O8, 'Control Effectiveness Assessmen'!$A$13:$B$17, 2, FALSE) * (1 - (VLOOKUP(P8, 'Control Effectiveness Assessmen'!$A$13:$B$17, 2, FALSE) / 10)), 0),
'Control Effectiveness Assessmen'!$B$13:$B$17, 0))</f>
        <v>Moderate</v>
      </c>
      <c r="AU8" s="83"/>
      <c r="AV8" s="83"/>
    </row>
    <row r="9" spans="1:48" ht="39.75" customHeight="1" x14ac:dyDescent="0.4">
      <c r="A9" s="57" t="s">
        <v>606</v>
      </c>
      <c r="B9" s="37" t="s">
        <v>21</v>
      </c>
      <c r="C9" s="37" t="s">
        <v>990</v>
      </c>
      <c r="D9" s="37" t="s">
        <v>1058</v>
      </c>
      <c r="E9" s="83" t="s">
        <v>24</v>
      </c>
      <c r="F9" s="83" t="s">
        <v>24</v>
      </c>
      <c r="G9" s="83" t="s">
        <v>24</v>
      </c>
      <c r="H9" s="83" t="s">
        <v>436</v>
      </c>
      <c r="I9" s="83" t="s">
        <v>24</v>
      </c>
      <c r="J9" s="83" t="s">
        <v>24</v>
      </c>
      <c r="K9" s="83" t="s">
        <v>24</v>
      </c>
      <c r="L9" s="83" t="s">
        <v>24</v>
      </c>
      <c r="M9" s="83" t="str" cm="1">
        <f t="array" ref="M9">INDEX('G234'!$A$24:$A$28, MATCH(TRUE, ROUND(AVERAGE(
    VLOOKUP(E9, 'D3456'!$A$23:$C$27, 3, FALSE),
    VLOOKUP(F9, 'D3456'!$A$32:$C$36, 3, FALSE),
    VLOOKUP(G9, 'D3456'!$A$4:$C$8, 3, FALSE)
) / 2, 0) &gt;= ('G234'!$C$24:$C$28) / 2, 0))</f>
        <v>High</v>
      </c>
      <c r="N9" s="83" t="s">
        <v>24</v>
      </c>
      <c r="O9" s="83" t="str">
        <f>INDEX($V$16:$Z$20,MATCH(Table4335[[#This Row],[Overall Likelihood]],$U$16:$U$20,0),MATCH(Table4335[[#This Row],[Level of Impact]],$V$15:$Z$15,0))</f>
        <v>High</v>
      </c>
      <c r="P9" s="83" t="s">
        <v>26</v>
      </c>
      <c r="Q9" s="83" t="str">
        <f>INDEX('Control Effectiveness Assessmen'!$A$13:$A$17, MATCH(
ROUND(VLOOKUP(O9, 'Control Effectiveness Assessmen'!$A$13:$B$17, 2, FALSE) * (1 - (VLOOKUP(P9, 'Control Effectiveness Assessmen'!$A$13:$B$17, 2, FALSE) / 10)), 0),
'Control Effectiveness Assessmen'!$B$13:$B$17, 0))</f>
        <v>Moderate</v>
      </c>
      <c r="W9" s="65"/>
    </row>
    <row r="10" spans="1:48" ht="15.75" customHeight="1" x14ac:dyDescent="0.25">
      <c r="A10" s="57" t="s">
        <v>598</v>
      </c>
      <c r="B10" s="37" t="s">
        <v>21</v>
      </c>
      <c r="C10" s="37" t="s">
        <v>979</v>
      </c>
      <c r="D10" s="37" t="s">
        <v>992</v>
      </c>
      <c r="E10" s="83" t="s">
        <v>26</v>
      </c>
      <c r="F10" s="83" t="s">
        <v>24</v>
      </c>
      <c r="G10" s="83" t="s">
        <v>26</v>
      </c>
      <c r="H10" s="83" t="s">
        <v>436</v>
      </c>
      <c r="I10" s="83" t="s">
        <v>26</v>
      </c>
      <c r="J10" s="83" t="s">
        <v>26</v>
      </c>
      <c r="K10" s="83" t="s">
        <v>26</v>
      </c>
      <c r="L10" s="83" t="s">
        <v>24</v>
      </c>
      <c r="M10" s="83" t="str" cm="1">
        <f t="array" ref="M10">INDEX('G234'!$A$24:$A$28, MATCH(TRUE, ROUND(AVERAGE(
    VLOOKUP(E10, 'D3456'!$A$23:$C$27, 3, FALSE),
    VLOOKUP(F10, 'D3456'!$A$32:$C$36, 3, FALSE),
    VLOOKUP(G10, 'D3456'!$A$4:$C$8, 3, FALSE)
) / 2, 0) &gt;= ('G234'!$C$24:$C$28) / 2, 0))</f>
        <v>Moderate</v>
      </c>
      <c r="N10" s="83" t="s">
        <v>24</v>
      </c>
      <c r="O10" s="83" t="str">
        <f>INDEX($V$16:$Z$20,MATCH(Table4335[[#This Row],[Overall Likelihood]],$U$16:$U$20,0),MATCH(Table4335[[#This Row],[Level of Impact]],$V$15:$Z$15,0))</f>
        <v>High</v>
      </c>
      <c r="P10" s="83" t="s">
        <v>26</v>
      </c>
      <c r="Q10" s="83" t="str">
        <f>INDEX('Control Effectiveness Assessmen'!$A$13:$A$17, MATCH(
ROUND(VLOOKUP(O10, 'Control Effectiveness Assessmen'!$A$13:$B$17, 2, FALSE) * (1 - (VLOOKUP(P10, 'Control Effectiveness Assessmen'!$A$13:$B$17, 2, FALSE) / 10)), 0),
'Control Effectiveness Assessmen'!$B$13:$B$17, 0))</f>
        <v>Moderate</v>
      </c>
      <c r="U10" s="91" t="s">
        <v>37</v>
      </c>
      <c r="V10" s="91"/>
      <c r="W10" s="91"/>
      <c r="X10" s="91"/>
      <c r="Y10" s="91"/>
      <c r="Z10" s="91"/>
    </row>
    <row r="11" spans="1:48" ht="33" customHeight="1" x14ac:dyDescent="0.25">
      <c r="A11" s="57" t="s">
        <v>672</v>
      </c>
      <c r="B11" s="37" t="s">
        <v>21</v>
      </c>
      <c r="C11" s="37" t="s">
        <v>985</v>
      </c>
      <c r="D11" s="37" t="s">
        <v>993</v>
      </c>
      <c r="E11" s="83" t="s">
        <v>24</v>
      </c>
      <c r="F11" s="83" t="s">
        <v>24</v>
      </c>
      <c r="G11" s="83" t="s">
        <v>24</v>
      </c>
      <c r="H11" s="83" t="s">
        <v>436</v>
      </c>
      <c r="I11" s="83" t="s">
        <v>26</v>
      </c>
      <c r="J11" s="83" t="s">
        <v>26</v>
      </c>
      <c r="K11" s="83" t="s">
        <v>24</v>
      </c>
      <c r="L11" s="83" t="s">
        <v>26</v>
      </c>
      <c r="M11" s="83" t="str" cm="1">
        <f t="array" ref="M11">INDEX('G234'!$A$24:$A$28, MATCH(TRUE, ROUND(AVERAGE(
    VLOOKUP(E11, 'D3456'!$A$23:$C$27, 3, FALSE),
    VLOOKUP(F11, 'D3456'!$A$32:$C$36, 3, FALSE),
    VLOOKUP(G11, 'D3456'!$A$4:$C$8, 3, FALSE)
) / 2, 0) &gt;= ('G234'!$C$24:$C$28) / 2, 0))</f>
        <v>High</v>
      </c>
      <c r="N11" s="83" t="s">
        <v>24</v>
      </c>
      <c r="O11" s="83" t="str">
        <f>INDEX($V$16:$Z$20,MATCH(Table4335[[#This Row],[Overall Likelihood]],$U$16:$U$20,0),MATCH(Table4335[[#This Row],[Level of Impact]],$V$15:$Z$15,0))</f>
        <v>High</v>
      </c>
      <c r="P11" s="83" t="s">
        <v>26</v>
      </c>
      <c r="Q11" s="83" t="str">
        <f>INDEX('Control Effectiveness Assessmen'!$A$13:$A$17, MATCH(
ROUND(VLOOKUP(O11, 'Control Effectiveness Assessmen'!$A$13:$B$17, 2, FALSE) * (1 - (VLOOKUP(P11, 'Control Effectiveness Assessmen'!$A$13:$B$17, 2, FALSE) / 10)), 0),
'Control Effectiveness Assessmen'!$B$13:$B$17, 0))</f>
        <v>Moderate</v>
      </c>
      <c r="U11" s="91"/>
      <c r="V11" s="91"/>
      <c r="W11" s="91"/>
      <c r="X11" s="91"/>
      <c r="Y11" s="91"/>
      <c r="Z11" s="91"/>
    </row>
    <row r="12" spans="1:48" ht="38.25" customHeight="1" x14ac:dyDescent="0.25">
      <c r="A12" s="57" t="s">
        <v>638</v>
      </c>
      <c r="B12" s="37" t="s">
        <v>21</v>
      </c>
      <c r="C12" s="37" t="s">
        <v>986</v>
      </c>
      <c r="D12" s="37" t="s">
        <v>994</v>
      </c>
      <c r="E12" s="83" t="s">
        <v>24</v>
      </c>
      <c r="F12" s="83" t="s">
        <v>24</v>
      </c>
      <c r="G12" s="83" t="s">
        <v>26</v>
      </c>
      <c r="H12" s="83" t="s">
        <v>436</v>
      </c>
      <c r="I12" s="83" t="s">
        <v>24</v>
      </c>
      <c r="J12" s="83" t="s">
        <v>26</v>
      </c>
      <c r="K12" s="83" t="s">
        <v>26</v>
      </c>
      <c r="L12" s="83" t="s">
        <v>24</v>
      </c>
      <c r="M12" s="83" t="str" cm="1">
        <f t="array" ref="M12">INDEX('G234'!$A$24:$A$28, MATCH(TRUE, ROUND(AVERAGE(
    VLOOKUP(E12, 'D3456'!$A$23:$C$27, 3, FALSE),
    VLOOKUP(F12, 'D3456'!$A$32:$C$36, 3, FALSE),
    VLOOKUP(G12, 'D3456'!$A$4:$C$8, 3, FALSE)
) / 2, 0) &gt;= ('G234'!$C$24:$C$28) / 2, 0))</f>
        <v>High</v>
      </c>
      <c r="N12" s="83" t="s">
        <v>24</v>
      </c>
      <c r="O12" s="83" t="str">
        <f>INDEX($V$16:$Z$20,MATCH(Table4335[[#This Row],[Overall Likelihood]],$U$16:$U$20,0),MATCH(Table4335[[#This Row],[Level of Impact]],$V$15:$Z$15,0))</f>
        <v>High</v>
      </c>
      <c r="P12" s="83" t="s">
        <v>26</v>
      </c>
      <c r="Q12" s="83" t="str">
        <f>INDEX('Control Effectiveness Assessmen'!$A$13:$A$17, MATCH(
ROUND(VLOOKUP(O12, 'Control Effectiveness Assessmen'!$A$13:$B$17, 2, FALSE) * (1 - (VLOOKUP(P12, 'Control Effectiveness Assessmen'!$A$13:$B$17, 2, FALSE) / 10)), 0),
'Control Effectiveness Assessmen'!$B$13:$B$17, 0))</f>
        <v>Moderate</v>
      </c>
      <c r="U12" s="91"/>
      <c r="V12" s="91"/>
      <c r="W12" s="91"/>
      <c r="X12" s="91"/>
      <c r="Y12" s="91"/>
      <c r="Z12" s="91"/>
    </row>
    <row r="13" spans="1:48" ht="21.75" customHeight="1" x14ac:dyDescent="0.25">
      <c r="A13" s="57" t="s">
        <v>678</v>
      </c>
      <c r="B13" s="37" t="s">
        <v>21</v>
      </c>
      <c r="C13" s="37" t="s">
        <v>987</v>
      </c>
      <c r="D13" s="37" t="s">
        <v>995</v>
      </c>
      <c r="E13" s="83" t="s">
        <v>26</v>
      </c>
      <c r="F13" s="83" t="s">
        <v>24</v>
      </c>
      <c r="G13" s="83" t="s">
        <v>26</v>
      </c>
      <c r="H13" s="83" t="s">
        <v>436</v>
      </c>
      <c r="I13" s="83" t="s">
        <v>26</v>
      </c>
      <c r="J13" s="83" t="s">
        <v>26</v>
      </c>
      <c r="K13" s="83" t="s">
        <v>26</v>
      </c>
      <c r="L13" s="83" t="s">
        <v>24</v>
      </c>
      <c r="M13" s="83" t="str" cm="1">
        <f t="array" ref="M13">INDEX('G234'!$A$24:$A$28, MATCH(TRUE, ROUND(AVERAGE(
    VLOOKUP(E13, 'D3456'!$A$23:$C$27, 3, FALSE),
    VLOOKUP(F13, 'D3456'!$A$32:$C$36, 3, FALSE),
    VLOOKUP(G13, 'D3456'!$A$4:$C$8, 3, FALSE)
) / 2, 0) &gt;= ('G234'!$C$24:$C$28) / 2, 0))</f>
        <v>Moderate</v>
      </c>
      <c r="N13" s="83" t="s">
        <v>24</v>
      </c>
      <c r="O13" s="83" t="str">
        <f>INDEX($V$16:$Z$20,MATCH(Table4335[[#This Row],[Overall Likelihood]],$U$16:$U$20,0),MATCH(Table4335[[#This Row],[Level of Impact]],$V$15:$Z$15,0))</f>
        <v>High</v>
      </c>
      <c r="P13" s="83" t="s">
        <v>26</v>
      </c>
      <c r="Q13" s="83" t="str">
        <f>INDEX('Control Effectiveness Assessmen'!$A$13:$A$17, MATCH(
ROUND(VLOOKUP(O13, 'Control Effectiveness Assessmen'!$A$13:$B$17, 2, FALSE) * (1 - (VLOOKUP(P13, 'Control Effectiveness Assessmen'!$A$13:$B$17, 2, FALSE) / 10)), 0),
'Control Effectiveness Assessmen'!$B$13:$B$17, 0))</f>
        <v>Moderate</v>
      </c>
      <c r="U13" s="91"/>
      <c r="V13" s="91"/>
      <c r="W13" s="91"/>
      <c r="X13" s="91"/>
      <c r="Y13" s="91"/>
      <c r="Z13" s="91"/>
    </row>
    <row r="14" spans="1:48" ht="39.75" customHeight="1" x14ac:dyDescent="0.35">
      <c r="A14" s="57"/>
      <c r="B14" s="37"/>
      <c r="C14" s="37"/>
      <c r="D14" s="37"/>
      <c r="E14" s="83"/>
      <c r="F14" s="83"/>
      <c r="G14" s="83"/>
      <c r="H14" s="83"/>
      <c r="I14" s="83"/>
      <c r="J14" s="83"/>
      <c r="K14" s="83"/>
      <c r="L14" s="83"/>
      <c r="M14" s="83"/>
      <c r="N14" s="83"/>
      <c r="O14" s="83"/>
      <c r="P14" s="83"/>
      <c r="Q14" s="83"/>
      <c r="V14" s="89" t="s">
        <v>14</v>
      </c>
      <c r="W14" s="89"/>
      <c r="X14" s="89"/>
      <c r="Y14" s="89"/>
      <c r="Z14" s="89"/>
    </row>
    <row r="15" spans="1:48" ht="19.5" x14ac:dyDescent="0.3">
      <c r="A15" s="57"/>
      <c r="B15" s="37"/>
      <c r="C15" s="37"/>
      <c r="D15" s="37"/>
      <c r="E15" s="83"/>
      <c r="F15" s="83"/>
      <c r="G15" s="83"/>
      <c r="H15" s="83"/>
      <c r="I15" s="83"/>
      <c r="J15" s="83"/>
      <c r="K15" s="83"/>
      <c r="L15" s="83"/>
      <c r="M15" s="83"/>
      <c r="N15" s="83"/>
      <c r="O15" s="83"/>
      <c r="P15" s="83"/>
      <c r="Q15" s="83"/>
      <c r="U15" s="68" t="s">
        <v>13</v>
      </c>
      <c r="V15" s="68" t="s">
        <v>38</v>
      </c>
      <c r="W15" s="69" t="s">
        <v>22</v>
      </c>
      <c r="X15" s="69" t="s">
        <v>26</v>
      </c>
      <c r="Y15" s="69" t="s">
        <v>24</v>
      </c>
      <c r="Z15" s="69" t="s">
        <v>25</v>
      </c>
    </row>
    <row r="16" spans="1:48" ht="19.5" x14ac:dyDescent="0.25">
      <c r="A16" s="57"/>
      <c r="B16" s="37"/>
      <c r="C16" s="37"/>
      <c r="D16" s="37"/>
      <c r="E16" s="83"/>
      <c r="F16" s="83"/>
      <c r="G16" s="83"/>
      <c r="H16" s="83"/>
      <c r="I16" s="83"/>
      <c r="J16" s="83"/>
      <c r="K16" s="83"/>
      <c r="L16" s="83"/>
      <c r="M16" s="83"/>
      <c r="N16" s="83"/>
      <c r="O16" s="83"/>
      <c r="P16" s="83"/>
      <c r="Q16" s="83"/>
      <c r="U16" s="70" t="s">
        <v>25</v>
      </c>
      <c r="V16" s="83" t="s">
        <v>22</v>
      </c>
      <c r="W16" s="83" t="s">
        <v>26</v>
      </c>
      <c r="X16" s="83" t="s">
        <v>24</v>
      </c>
      <c r="Y16" s="83" t="s">
        <v>25</v>
      </c>
      <c r="Z16" s="83" t="s">
        <v>25</v>
      </c>
    </row>
    <row r="17" spans="1:26" ht="19.5" x14ac:dyDescent="0.25">
      <c r="A17" s="57"/>
      <c r="B17" s="37"/>
      <c r="C17" s="37"/>
      <c r="D17" s="37"/>
      <c r="E17" s="83"/>
      <c r="F17" s="83"/>
      <c r="G17" s="83"/>
      <c r="H17" s="83"/>
      <c r="I17" s="83"/>
      <c r="J17" s="83"/>
      <c r="K17" s="83"/>
      <c r="L17" s="83"/>
      <c r="M17" s="83"/>
      <c r="N17" s="83"/>
      <c r="O17" s="83"/>
      <c r="P17" s="83"/>
      <c r="Q17" s="83"/>
      <c r="U17" s="70" t="s">
        <v>24</v>
      </c>
      <c r="V17" s="83" t="s">
        <v>22</v>
      </c>
      <c r="W17" s="83" t="s">
        <v>26</v>
      </c>
      <c r="X17" s="83" t="s">
        <v>24</v>
      </c>
      <c r="Y17" s="83" t="s">
        <v>24</v>
      </c>
      <c r="Z17" s="83" t="s">
        <v>25</v>
      </c>
    </row>
    <row r="18" spans="1:26" ht="19.5" x14ac:dyDescent="0.25">
      <c r="A18" s="57"/>
      <c r="B18" s="37"/>
      <c r="C18" s="37"/>
      <c r="D18" s="37"/>
      <c r="E18" s="83"/>
      <c r="F18" s="83"/>
      <c r="G18" s="83"/>
      <c r="H18" s="83"/>
      <c r="I18" s="83"/>
      <c r="J18" s="83"/>
      <c r="K18" s="83"/>
      <c r="L18" s="83"/>
      <c r="M18" s="83"/>
      <c r="N18" s="83"/>
      <c r="O18" s="83"/>
      <c r="P18" s="83"/>
      <c r="Q18" s="83"/>
      <c r="U18" s="70" t="s">
        <v>26</v>
      </c>
      <c r="V18" s="83" t="s">
        <v>22</v>
      </c>
      <c r="W18" s="83" t="s">
        <v>26</v>
      </c>
      <c r="X18" s="83" t="s">
        <v>26</v>
      </c>
      <c r="Y18" s="83" t="s">
        <v>24</v>
      </c>
      <c r="Z18" s="83" t="s">
        <v>24</v>
      </c>
    </row>
    <row r="19" spans="1:26" ht="19.5" x14ac:dyDescent="0.25">
      <c r="E19" s="83"/>
      <c r="F19" s="83"/>
      <c r="G19" s="83"/>
      <c r="H19" s="83"/>
      <c r="I19" s="83"/>
      <c r="J19" s="83"/>
      <c r="K19" s="83"/>
      <c r="L19" s="83"/>
      <c r="M19" s="83"/>
      <c r="N19" s="83"/>
      <c r="O19" s="83"/>
      <c r="P19" s="83"/>
      <c r="Q19" s="83"/>
      <c r="U19" s="70" t="s">
        <v>22</v>
      </c>
      <c r="V19" s="83" t="s">
        <v>22</v>
      </c>
      <c r="W19" s="83" t="s">
        <v>22</v>
      </c>
      <c r="X19" s="83" t="s">
        <v>26</v>
      </c>
      <c r="Y19" s="83" t="s">
        <v>26</v>
      </c>
      <c r="Z19" s="83" t="s">
        <v>24</v>
      </c>
    </row>
    <row r="20" spans="1:26" ht="19.5" x14ac:dyDescent="0.25">
      <c r="E20" s="83"/>
      <c r="F20" s="83"/>
      <c r="G20" s="83"/>
      <c r="H20" s="83"/>
      <c r="I20" s="83"/>
      <c r="J20" s="83"/>
      <c r="K20" s="83"/>
      <c r="L20" s="83"/>
      <c r="M20" s="83"/>
      <c r="N20" s="83"/>
      <c r="O20" s="83"/>
      <c r="P20" s="83"/>
      <c r="Q20" s="83"/>
      <c r="U20" s="70" t="s">
        <v>38</v>
      </c>
      <c r="V20" s="83" t="s">
        <v>38</v>
      </c>
      <c r="W20" s="83" t="s">
        <v>22</v>
      </c>
      <c r="X20" s="83" t="s">
        <v>22</v>
      </c>
      <c r="Y20" s="83" t="s">
        <v>26</v>
      </c>
      <c r="Z20" s="83" t="s">
        <v>26</v>
      </c>
    </row>
    <row r="21" spans="1:26" ht="19.5" x14ac:dyDescent="0.25">
      <c r="E21" s="83"/>
      <c r="F21" s="83"/>
      <c r="G21" s="83"/>
      <c r="H21" s="83"/>
      <c r="I21" s="83"/>
      <c r="J21" s="83"/>
      <c r="K21" s="83"/>
      <c r="L21" s="83"/>
      <c r="M21" s="83"/>
      <c r="N21" s="83"/>
      <c r="O21" s="83"/>
      <c r="P21" s="83"/>
      <c r="Q21" s="83"/>
      <c r="U21" s="51"/>
      <c r="V21" s="83"/>
      <c r="W21" s="83"/>
      <c r="X21" s="83"/>
      <c r="Y21" s="83"/>
      <c r="Z21" s="83"/>
    </row>
    <row r="22" spans="1:26" ht="19.5" x14ac:dyDescent="0.25">
      <c r="O22" s="71"/>
      <c r="V22" s="83"/>
      <c r="W22" s="83"/>
      <c r="X22" s="83"/>
      <c r="Y22" s="83"/>
      <c r="Z22" s="83"/>
    </row>
    <row r="23" spans="1:26" ht="19.5" x14ac:dyDescent="0.25">
      <c r="O23" s="71"/>
      <c r="V23" s="83"/>
      <c r="W23" s="83"/>
      <c r="X23" s="83"/>
      <c r="Y23" s="83"/>
      <c r="Z23" s="83"/>
    </row>
    <row r="24" spans="1:26" ht="19.5" x14ac:dyDescent="0.25">
      <c r="O24" s="71"/>
      <c r="V24" s="83"/>
      <c r="W24" s="83"/>
      <c r="X24" s="83"/>
      <c r="Y24" s="83"/>
      <c r="Z24" s="83"/>
    </row>
    <row r="25" spans="1:26" ht="19.5" x14ac:dyDescent="0.25">
      <c r="O25" s="71"/>
      <c r="V25" s="83"/>
      <c r="W25" s="83"/>
      <c r="X25" s="83"/>
      <c r="Y25" s="83"/>
      <c r="Z25" s="83"/>
    </row>
    <row r="26" spans="1:26" ht="19.5" x14ac:dyDescent="0.25">
      <c r="O26" s="71"/>
      <c r="V26" s="83"/>
      <c r="W26" s="83"/>
      <c r="X26" s="83"/>
      <c r="Y26" s="83"/>
      <c r="Z26" s="83"/>
    </row>
    <row r="27" spans="1:26" ht="19.5" x14ac:dyDescent="0.25">
      <c r="O27" s="79"/>
      <c r="V27" s="83"/>
      <c r="W27" s="83"/>
      <c r="X27" s="83"/>
      <c r="Y27" s="83"/>
      <c r="Z27" s="83"/>
    </row>
    <row r="28" spans="1:26" ht="19.5" x14ac:dyDescent="0.25">
      <c r="O28" s="71"/>
      <c r="V28" s="83"/>
      <c r="W28" s="83"/>
      <c r="X28" s="83"/>
      <c r="Y28" s="83"/>
      <c r="Z28" s="83"/>
    </row>
    <row r="29" spans="1:26" ht="19.5" x14ac:dyDescent="0.25">
      <c r="O29" s="79"/>
      <c r="V29" s="83"/>
      <c r="W29" s="83"/>
      <c r="X29" s="83"/>
      <c r="Y29" s="83"/>
      <c r="Z29" s="83"/>
    </row>
    <row r="30" spans="1:26" ht="19.5" x14ac:dyDescent="0.25">
      <c r="O30" s="71"/>
      <c r="V30" s="83"/>
      <c r="W30" s="83"/>
      <c r="X30" s="83"/>
      <c r="Y30" s="83"/>
      <c r="Z30" s="83"/>
    </row>
    <row r="31" spans="1:26" ht="15.75" x14ac:dyDescent="0.25">
      <c r="O31" s="79"/>
    </row>
  </sheetData>
  <mergeCells count="7">
    <mergeCell ref="A3:Q3"/>
    <mergeCell ref="U1:Z1"/>
    <mergeCell ref="U2:Z2"/>
    <mergeCell ref="AF3:AT3"/>
    <mergeCell ref="V14:Z14"/>
    <mergeCell ref="W4:X4"/>
    <mergeCell ref="U10:Z13"/>
  </mergeCells>
  <phoneticPr fontId="4" type="noConversion"/>
  <conditionalFormatting sqref="E14">
    <cfRule type="colorScale" priority="1965">
      <colorScale>
        <cfvo type="min"/>
        <cfvo type="percentile" val="50"/>
        <cfvo type="max"/>
        <color rgb="FF63BE7B"/>
        <color rgb="FFFFEB84"/>
        <color rgb="FFF8696B"/>
      </colorScale>
    </cfRule>
    <cfRule type="containsText" dxfId="305" priority="1963" operator="containsText" text="Very High">
      <formula>NOT(ISERROR(SEARCH("Very High",E14)))</formula>
    </cfRule>
    <cfRule type="containsText" dxfId="304" priority="1956" operator="containsText" text="Moderate">
      <formula>NOT(ISERROR(SEARCH("Moderate",E14)))</formula>
    </cfRule>
    <cfRule type="containsText" dxfId="303" priority="1957" operator="containsText" text="Very Low">
      <formula>NOT(ISERROR(SEARCH("Very Low",E14)))</formula>
    </cfRule>
    <cfRule type="containsText" dxfId="302" priority="1958" operator="containsText" text="Very Low">
      <formula>NOT(ISERROR(SEARCH("Very Low",E14)))</formula>
    </cfRule>
    <cfRule type="containsText" dxfId="301" priority="1959" operator="containsText" text="Low">
      <formula>NOT(ISERROR(SEARCH("Low",E14)))</formula>
    </cfRule>
    <cfRule type="containsText" dxfId="300" priority="1960" operator="containsText" text="Moderate">
      <formula>NOT(ISERROR(SEARCH("Moderate",E14)))</formula>
    </cfRule>
    <cfRule type="containsText" dxfId="299" priority="1961" operator="containsText" text="Very High">
      <formula>NOT(ISERROR(SEARCH("Very High",E14)))</formula>
    </cfRule>
    <cfRule type="containsText" dxfId="298" priority="1962" operator="containsText" text="High">
      <formula>NOT(ISERROR(SEARCH("High",E14)))</formula>
    </cfRule>
    <cfRule type="containsText" priority="1964" operator="containsText" text="Very High">
      <formula>NOT(ISERROR(SEARCH("Very High",E14)))</formula>
    </cfRule>
  </conditionalFormatting>
  <conditionalFormatting sqref="E15:J18 E19:Q20 L15:Q18">
    <cfRule type="containsText" dxfId="297" priority="1015" operator="containsText" text="Very Low">
      <formula>NOT(ISERROR(SEARCH("Very Low",E15)))</formula>
    </cfRule>
  </conditionalFormatting>
  <conditionalFormatting sqref="E15:J18 L15:Q18 E19:Q20">
    <cfRule type="containsText" dxfId="296" priority="1023" operator="containsText" text="Low">
      <formula>NOT(ISERROR(SEARCH("Low",E15)))</formula>
    </cfRule>
    <cfRule type="containsText" dxfId="295" priority="1024" operator="containsText" text="Moderate">
      <formula>NOT(ISERROR(SEARCH("Moderate",E15)))</formula>
    </cfRule>
    <cfRule type="containsText" dxfId="294" priority="1025" operator="containsText" text="Very High">
      <formula>NOT(ISERROR(SEARCH("Very High",E15)))</formula>
    </cfRule>
    <cfRule type="containsText" dxfId="293" priority="1026" operator="containsText" text="High">
      <formula>NOT(ISERROR(SEARCH("High",E15)))</formula>
    </cfRule>
    <cfRule type="containsText" dxfId="292" priority="1017" operator="containsText" text="Very High">
      <formula>NOT(ISERROR(SEARCH("Very High",E15)))</formula>
    </cfRule>
    <cfRule type="containsText" dxfId="291" priority="1020" operator="containsText" text="Moderate">
      <formula>NOT(ISERROR(SEARCH("Moderate",E15)))</formula>
    </cfRule>
    <cfRule type="containsText" dxfId="290" priority="1019" operator="containsText" text="Very High">
      <formula>NOT(ISERROR(SEARCH("Very High",E15)))</formula>
    </cfRule>
    <cfRule type="containsText" dxfId="289" priority="1018" operator="containsText" text="High">
      <formula>NOT(ISERROR(SEARCH("High",E15)))</formula>
    </cfRule>
    <cfRule type="containsText" dxfId="288" priority="1027" operator="containsText" text="Very High">
      <formula>NOT(ISERROR(SEARCH("Very High",E15)))</formula>
    </cfRule>
    <cfRule type="containsText" dxfId="287" priority="1016" operator="containsText" text="Low">
      <formula>NOT(ISERROR(SEARCH("Low",E15)))</formula>
    </cfRule>
    <cfRule type="containsText" dxfId="286" priority="1021" operator="containsText" text="Very Low">
      <formula>NOT(ISERROR(SEARCH("Very Low",E15)))</formula>
    </cfRule>
    <cfRule type="containsText" dxfId="285" priority="1022" operator="containsText" text="Very Low">
      <formula>NOT(ISERROR(SEARCH("Very Low",E15)))</formula>
    </cfRule>
  </conditionalFormatting>
  <conditionalFormatting sqref="E15:J18">
    <cfRule type="containsText" priority="1028" operator="containsText" text="Very High">
      <formula>NOT(ISERROR(SEARCH("Very High",E15)))</formula>
    </cfRule>
  </conditionalFormatting>
  <conditionalFormatting sqref="E19:Q20 E15:J18 L15:Q18">
    <cfRule type="colorScale" priority="1029">
      <colorScale>
        <cfvo type="min"/>
        <cfvo type="percentile" val="50"/>
        <cfvo type="max"/>
        <color rgb="FF63BE7B"/>
        <color rgb="FFFFEB84"/>
        <color rgb="FFF8696B"/>
      </colorScale>
    </cfRule>
  </conditionalFormatting>
  <conditionalFormatting sqref="E19:Q21">
    <cfRule type="containsText" priority="908" operator="containsText" text="Very High">
      <formula>NOT(ISERROR(SEARCH("Very High",E19)))</formula>
    </cfRule>
  </conditionalFormatting>
  <conditionalFormatting sqref="E21:Q21">
    <cfRule type="colorScale" priority="909">
      <colorScale>
        <cfvo type="min"/>
        <cfvo type="percentile" val="50"/>
        <cfvo type="max"/>
        <color rgb="FF63BE7B"/>
        <color rgb="FFFFEB84"/>
        <color rgb="FFF8696B"/>
      </colorScale>
    </cfRule>
    <cfRule type="containsText" dxfId="284" priority="903" operator="containsText" text="Low">
      <formula>NOT(ISERROR(SEARCH("Low",E21)))</formula>
    </cfRule>
    <cfRule type="containsText" dxfId="283" priority="901" operator="containsText" text="Very Low">
      <formula>NOT(ISERROR(SEARCH("Very Low",E21)))</formula>
    </cfRule>
    <cfRule type="containsText" dxfId="282" priority="904" operator="containsText" text="Moderate">
      <formula>NOT(ISERROR(SEARCH("Moderate",E21)))</formula>
    </cfRule>
    <cfRule type="containsText" dxfId="281" priority="907" operator="containsText" text="Very High">
      <formula>NOT(ISERROR(SEARCH("Very High",E21)))</formula>
    </cfRule>
    <cfRule type="containsText" dxfId="280" priority="906" operator="containsText" text="High">
      <formula>NOT(ISERROR(SEARCH("High",E21)))</formula>
    </cfRule>
    <cfRule type="containsText" dxfId="279" priority="905" operator="containsText" text="Very High">
      <formula>NOT(ISERROR(SEARCH("Very High",E21)))</formula>
    </cfRule>
    <cfRule type="containsText" dxfId="278" priority="902" operator="containsText" text="Very Low">
      <formula>NOT(ISERROR(SEARCH("Very Low",E21)))</formula>
    </cfRule>
    <cfRule type="containsText" dxfId="277" priority="900" operator="containsText" text="Moderate">
      <formula>NOT(ISERROR(SEARCH("Moderate",E21)))</formula>
    </cfRule>
    <cfRule type="containsText" dxfId="276" priority="899" operator="containsText" text="Very High">
      <formula>NOT(ISERROR(SEARCH("Very High",E21)))</formula>
    </cfRule>
    <cfRule type="containsText" dxfId="275" priority="898" operator="containsText" text="High">
      <formula>NOT(ISERROR(SEARCH("High",E21)))</formula>
    </cfRule>
    <cfRule type="containsText" dxfId="274" priority="897" operator="containsText" text="Very High">
      <formula>NOT(ISERROR(SEARCH("Very High",E21)))</formula>
    </cfRule>
    <cfRule type="containsText" dxfId="273" priority="896" operator="containsText" text="Low">
      <formula>NOT(ISERROR(SEARCH("Low",E21)))</formula>
    </cfRule>
    <cfRule type="containsText" dxfId="272" priority="895" operator="containsText" text="Very Low">
      <formula>NOT(ISERROR(SEARCH("Very Low",E21)))</formula>
    </cfRule>
  </conditionalFormatting>
  <conditionalFormatting sqref="F14">
    <cfRule type="colorScale" priority="1040">
      <colorScale>
        <cfvo type="min"/>
        <cfvo type="percentile" val="50"/>
        <cfvo type="max"/>
        <color rgb="FF63BE7B"/>
        <color rgb="FFFFEB84"/>
        <color rgb="FFF8696B"/>
      </colorScale>
    </cfRule>
  </conditionalFormatting>
  <conditionalFormatting sqref="F15">
    <cfRule type="colorScale" priority="944">
      <colorScale>
        <cfvo type="min"/>
        <cfvo type="percentile" val="50"/>
        <cfvo type="max"/>
        <color rgb="FF63BE7B"/>
        <color rgb="FFFFEB84"/>
        <color rgb="FFF8696B"/>
      </colorScale>
    </cfRule>
  </conditionalFormatting>
  <conditionalFormatting sqref="F16:F20">
    <cfRule type="colorScale" priority="1014">
      <colorScale>
        <cfvo type="min"/>
        <cfvo type="percentile" val="50"/>
        <cfvo type="max"/>
        <color rgb="FF63BE7B"/>
        <color rgb="FFFFEB84"/>
        <color rgb="FFF8696B"/>
      </colorScale>
    </cfRule>
  </conditionalFormatting>
  <conditionalFormatting sqref="F21">
    <cfRule type="colorScale" priority="888">
      <colorScale>
        <cfvo type="min"/>
        <cfvo type="percentile" val="50"/>
        <cfvo type="max"/>
        <color rgb="FF63BE7B"/>
        <color rgb="FFFFEB84"/>
        <color rgb="FFF8696B"/>
      </colorScale>
    </cfRule>
  </conditionalFormatting>
  <conditionalFormatting sqref="F14:G21">
    <cfRule type="containsText" dxfId="271" priority="1635" operator="containsText" text="Moderate">
      <formula>NOT(ISERROR(SEARCH("Moderate",F14)))</formula>
    </cfRule>
    <cfRule type="containsText" dxfId="270" priority="1632" operator="containsText" text="Very Low">
      <formula>NOT(ISERROR(SEARCH("Very Low",F14)))</formula>
    </cfRule>
    <cfRule type="containsText" dxfId="269" priority="1634" operator="containsText" text="Low">
      <formula>NOT(ISERROR(SEARCH("Low",F14)))</formula>
    </cfRule>
    <cfRule type="containsText" dxfId="268" priority="1628" operator="containsText" text="Very High">
      <formula>NOT(ISERROR(SEARCH("Very High",F14)))</formula>
    </cfRule>
    <cfRule type="containsText" dxfId="267" priority="1633" operator="containsText" text="Very Low">
      <formula>NOT(ISERROR(SEARCH("Very Low",F14)))</formula>
    </cfRule>
    <cfRule type="containsText" dxfId="266" priority="1627" operator="containsText" text="Low">
      <formula>NOT(ISERROR(SEARCH("Low",F14)))</formula>
    </cfRule>
    <cfRule type="containsText" dxfId="265" priority="1626" operator="containsText" text="Very Low">
      <formula>NOT(ISERROR(SEARCH("Very Low",F14)))</formula>
    </cfRule>
    <cfRule type="containsText" dxfId="264" priority="1629" operator="containsText" text="High">
      <formula>NOT(ISERROR(SEARCH("High",F14)))</formula>
    </cfRule>
    <cfRule type="containsText" dxfId="263" priority="1630" operator="containsText" text="Very High">
      <formula>NOT(ISERROR(SEARCH("Very High",F14)))</formula>
    </cfRule>
    <cfRule type="containsText" dxfId="262" priority="1631" operator="containsText" text="Moderate">
      <formula>NOT(ISERROR(SEARCH("Moderate",F14)))</formula>
    </cfRule>
    <cfRule type="containsText" priority="1639" operator="containsText" text="Very High">
      <formula>NOT(ISERROR(SEARCH("Very High",F14)))</formula>
    </cfRule>
    <cfRule type="containsText" dxfId="261" priority="1638" operator="containsText" text="Very High">
      <formula>NOT(ISERROR(SEARCH("Very High",F14)))</formula>
    </cfRule>
    <cfRule type="containsText" dxfId="260" priority="1637" operator="containsText" text="High">
      <formula>NOT(ISERROR(SEARCH("High",F14)))</formula>
    </cfRule>
    <cfRule type="containsText" dxfId="259" priority="1636" operator="containsText" text="Very High">
      <formula>NOT(ISERROR(SEARCH("Very High",F14)))</formula>
    </cfRule>
  </conditionalFormatting>
  <conditionalFormatting sqref="G14">
    <cfRule type="colorScale" priority="1039">
      <colorScale>
        <cfvo type="min"/>
        <cfvo type="percentile" val="50"/>
        <cfvo type="max"/>
        <color rgb="FF63BE7B"/>
        <color rgb="FFFFEB84"/>
        <color rgb="FFF8696B"/>
      </colorScale>
    </cfRule>
  </conditionalFormatting>
  <conditionalFormatting sqref="G15">
    <cfRule type="colorScale" priority="943">
      <colorScale>
        <cfvo type="min"/>
        <cfvo type="percentile" val="50"/>
        <cfvo type="max"/>
        <color rgb="FF63BE7B"/>
        <color rgb="FFFFEB84"/>
        <color rgb="FFF8696B"/>
      </colorScale>
    </cfRule>
  </conditionalFormatting>
  <conditionalFormatting sqref="G16:G20">
    <cfRule type="colorScale" priority="1013">
      <colorScale>
        <cfvo type="min"/>
        <cfvo type="percentile" val="50"/>
        <cfvo type="max"/>
        <color rgb="FF63BE7B"/>
        <color rgb="FFFFEB84"/>
        <color rgb="FFF8696B"/>
      </colorScale>
    </cfRule>
  </conditionalFormatting>
  <conditionalFormatting sqref="G21">
    <cfRule type="colorScale" priority="887">
      <colorScale>
        <cfvo type="min"/>
        <cfvo type="percentile" val="50"/>
        <cfvo type="max"/>
        <color rgb="FF63BE7B"/>
        <color rgb="FFFFEB84"/>
        <color rgb="FFF8696B"/>
      </colorScale>
    </cfRule>
  </conditionalFormatting>
  <conditionalFormatting sqref="I14">
    <cfRule type="colorScale" priority="2005">
      <colorScale>
        <cfvo type="min"/>
        <cfvo type="percentile" val="50"/>
        <cfvo type="max"/>
        <color rgb="FF63BE7B"/>
        <color rgb="FFFFEB84"/>
        <color rgb="FFF8696B"/>
      </colorScale>
    </cfRule>
  </conditionalFormatting>
  <conditionalFormatting sqref="I14:I21 K14:K21 P14:Q21">
    <cfRule type="containsText" dxfId="258" priority="1489" operator="containsText" text="Moderate">
      <formula>NOT(ISERROR(SEARCH("Moderate",I14)))</formula>
    </cfRule>
    <cfRule type="containsText" dxfId="257" priority="1495" operator="containsText" text="High">
      <formula>NOT(ISERROR(SEARCH("High",I14)))</formula>
    </cfRule>
    <cfRule type="containsText" dxfId="256" priority="1491" operator="containsText" text="Very Low">
      <formula>NOT(ISERROR(SEARCH("Very Low",I14)))</formula>
    </cfRule>
    <cfRule type="containsText" dxfId="255" priority="1496" operator="containsText" text="Very High">
      <formula>NOT(ISERROR(SEARCH("Very High",I14)))</formula>
    </cfRule>
    <cfRule type="containsText" dxfId="254" priority="1494" operator="containsText" text="Very High">
      <formula>NOT(ISERROR(SEARCH("Very High",I14)))</formula>
    </cfRule>
    <cfRule type="containsText" dxfId="253" priority="1493" operator="containsText" text="Moderate">
      <formula>NOT(ISERROR(SEARCH("Moderate",I14)))</formula>
    </cfRule>
    <cfRule type="containsText" dxfId="252" priority="1492" operator="containsText" text="Low">
      <formula>NOT(ISERROR(SEARCH("Low",I14)))</formula>
    </cfRule>
    <cfRule type="containsText" dxfId="251" priority="1490" operator="containsText" text="Very Low">
      <formula>NOT(ISERROR(SEARCH("Very Low",I14)))</formula>
    </cfRule>
  </conditionalFormatting>
  <conditionalFormatting sqref="I15">
    <cfRule type="colorScale" priority="950">
      <colorScale>
        <cfvo type="min"/>
        <cfvo type="percentile" val="50"/>
        <cfvo type="max"/>
        <color rgb="FF63BE7B"/>
        <color rgb="FFFFEB84"/>
        <color rgb="FFF8696B"/>
      </colorScale>
    </cfRule>
  </conditionalFormatting>
  <conditionalFormatting sqref="I15:I21 Q5:Q13">
    <cfRule type="containsText" dxfId="250" priority="945" operator="containsText" text="Very Low">
      <formula>NOT(ISERROR(SEARCH("Very Low",I5)))</formula>
    </cfRule>
  </conditionalFormatting>
  <conditionalFormatting sqref="I16:I20">
    <cfRule type="colorScale" priority="1007">
      <colorScale>
        <cfvo type="min"/>
        <cfvo type="percentile" val="50"/>
        <cfvo type="max"/>
        <color rgb="FF63BE7B"/>
        <color rgb="FFFFEB84"/>
        <color rgb="FFF8696B"/>
      </colorScale>
    </cfRule>
  </conditionalFormatting>
  <conditionalFormatting sqref="I21">
    <cfRule type="colorScale" priority="889">
      <colorScale>
        <cfvo type="min"/>
        <cfvo type="percentile" val="50"/>
        <cfvo type="max"/>
        <color rgb="FF63BE7B"/>
        <color rgb="FFFFEB84"/>
        <color rgb="FFF8696B"/>
      </colorScale>
    </cfRule>
  </conditionalFormatting>
  <conditionalFormatting sqref="I14:J21 L14:Q21">
    <cfRule type="containsText" priority="862" operator="containsText" text="Very High">
      <formula>NOT(ISERROR(SEARCH("Very High",I14)))</formula>
    </cfRule>
  </conditionalFormatting>
  <conditionalFormatting sqref="J14:J21">
    <cfRule type="containsText" dxfId="249" priority="2957" operator="containsText" text="Very Low">
      <formula>NOT(ISERROR(SEARCH("Very Low",J14)))</formula>
    </cfRule>
    <cfRule type="containsText" dxfId="248" priority="2958" operator="containsText" text="Very Low">
      <formula>NOT(ISERROR(SEARCH("Very Low",J14)))</formula>
    </cfRule>
    <cfRule type="containsText" dxfId="247" priority="2959" operator="containsText" text="Low">
      <formula>NOT(ISERROR(SEARCH("Low",J14)))</formula>
    </cfRule>
    <cfRule type="containsText" dxfId="246" priority="2960" operator="containsText" text="Moderate">
      <formula>NOT(ISERROR(SEARCH("Moderate",J14)))</formula>
    </cfRule>
    <cfRule type="containsText" dxfId="245" priority="2961" operator="containsText" text="Very High">
      <formula>NOT(ISERROR(SEARCH("Very High",J14)))</formula>
    </cfRule>
    <cfRule type="containsText" dxfId="244" priority="2962" operator="containsText" text="High">
      <formula>NOT(ISERROR(SEARCH("High",J14)))</formula>
    </cfRule>
    <cfRule type="containsText" dxfId="243" priority="2963" operator="containsText" text="Very High">
      <formula>NOT(ISERROR(SEARCH("Very High",J14)))</formula>
    </cfRule>
    <cfRule type="containsText" dxfId="242" priority="2956" operator="containsText" text="Moderate">
      <formula>NOT(ISERROR(SEARCH("Moderate",J14)))</formula>
    </cfRule>
    <cfRule type="colorScale" priority="2965">
      <colorScale>
        <cfvo type="min"/>
        <cfvo type="percentile" val="50"/>
        <cfvo type="max"/>
        <color rgb="FF63BE7B"/>
        <color rgb="FFFFEB84"/>
        <color rgb="FFF8696B"/>
      </colorScale>
    </cfRule>
  </conditionalFormatting>
  <conditionalFormatting sqref="J14:Q21">
    <cfRule type="containsText" dxfId="241" priority="1613" operator="containsText" text="Very High">
      <formula>NOT(ISERROR(SEARCH("Very High",J14)))</formula>
    </cfRule>
    <cfRule type="containsText" dxfId="240" priority="1612" operator="containsText" text="Low">
      <formula>NOT(ISERROR(SEARCH("Low",J14)))</formula>
    </cfRule>
    <cfRule type="containsText" dxfId="239" priority="1611" operator="containsText" text="Very Low">
      <formula>NOT(ISERROR(SEARCH("Very Low",J14)))</formula>
    </cfRule>
    <cfRule type="containsText" dxfId="238" priority="1615" operator="containsText" text="Very High">
      <formula>NOT(ISERROR(SEARCH("Very High",J14)))</formula>
    </cfRule>
    <cfRule type="containsText" dxfId="237" priority="1614" operator="containsText" text="High">
      <formula>NOT(ISERROR(SEARCH("High",J14)))</formula>
    </cfRule>
  </conditionalFormatting>
  <conditionalFormatting sqref="K14:K18">
    <cfRule type="colorScale" priority="2042">
      <colorScale>
        <cfvo type="min"/>
        <cfvo type="percentile" val="50"/>
        <cfvo type="max"/>
        <color rgb="FF63BE7B"/>
        <color rgb="FFFFEB84"/>
        <color rgb="FFF8696B"/>
      </colorScale>
    </cfRule>
    <cfRule type="containsText" priority="2041" operator="containsText" text="Very High">
      <formula>NOT(ISERROR(SEARCH("Very High",K14)))</formula>
    </cfRule>
  </conditionalFormatting>
  <conditionalFormatting sqref="K19:K20">
    <cfRule type="colorScale" priority="918">
      <colorScale>
        <cfvo type="min"/>
        <cfvo type="percentile" val="50"/>
        <cfvo type="max"/>
        <color rgb="FF63BE7B"/>
        <color rgb="FFFFEB84"/>
        <color rgb="FFF8696B"/>
      </colorScale>
    </cfRule>
  </conditionalFormatting>
  <conditionalFormatting sqref="K21">
    <cfRule type="colorScale" priority="886">
      <colorScale>
        <cfvo type="min"/>
        <cfvo type="percentile" val="50"/>
        <cfvo type="max"/>
        <color rgb="FF63BE7B"/>
        <color rgb="FFFFEB84"/>
        <color rgb="FFF8696B"/>
      </colorScale>
    </cfRule>
  </conditionalFormatting>
  <conditionalFormatting sqref="L14:L21">
    <cfRule type="containsText" dxfId="236" priority="2986" operator="containsText" text="Moderate">
      <formula>NOT(ISERROR(SEARCH("Moderate",L14)))</formula>
    </cfRule>
    <cfRule type="containsText" dxfId="235" priority="2987" operator="containsText" text="Very Low">
      <formula>NOT(ISERROR(SEARCH("Very Low",L14)))</formula>
    </cfRule>
    <cfRule type="containsText" dxfId="234" priority="2988" operator="containsText" text="Very Low">
      <formula>NOT(ISERROR(SEARCH("Very Low",L14)))</formula>
    </cfRule>
    <cfRule type="containsText" dxfId="233" priority="2989" operator="containsText" text="Low">
      <formula>NOT(ISERROR(SEARCH("Low",L14)))</formula>
    </cfRule>
    <cfRule type="containsText" dxfId="232" priority="2990" operator="containsText" text="Moderate">
      <formula>NOT(ISERROR(SEARCH("Moderate",L14)))</formula>
    </cfRule>
    <cfRule type="containsText" dxfId="231" priority="2991" operator="containsText" text="Very High">
      <formula>NOT(ISERROR(SEARCH("Very High",L14)))</formula>
    </cfRule>
    <cfRule type="containsText" dxfId="230" priority="2992" operator="containsText" text="High">
      <formula>NOT(ISERROR(SEARCH("High",L14)))</formula>
    </cfRule>
    <cfRule type="containsText" dxfId="229" priority="2993" operator="containsText" text="Very High">
      <formula>NOT(ISERROR(SEARCH("Very High",L14)))</formula>
    </cfRule>
    <cfRule type="colorScale" priority="2995">
      <colorScale>
        <cfvo type="min"/>
        <cfvo type="percentile" val="50"/>
        <cfvo type="max"/>
        <color rgb="FF63BE7B"/>
        <color rgb="FFFFEB84"/>
        <color rgb="FFF8696B"/>
      </colorScale>
    </cfRule>
  </conditionalFormatting>
  <conditionalFormatting sqref="M5:M13 O5:O13">
    <cfRule type="containsText" dxfId="228" priority="2929" operator="containsText" text="Low">
      <formula>NOT(ISERROR(SEARCH("Low",M5)))</formula>
    </cfRule>
    <cfRule type="containsText" dxfId="227" priority="2928" operator="containsText" text="Very Low">
      <formula>NOT(ISERROR(SEARCH("Very Low",M5)))</formula>
    </cfRule>
    <cfRule type="containsText" dxfId="226" priority="2927" operator="containsText" text="Very Low">
      <formula>NOT(ISERROR(SEARCH("Very Low",M5)))</formula>
    </cfRule>
    <cfRule type="containsText" dxfId="225" priority="2926" operator="containsText" text="Moderate">
      <formula>NOT(ISERROR(SEARCH("Moderate",M5)))</formula>
    </cfRule>
    <cfRule type="containsText" dxfId="224" priority="2925" operator="containsText" text="Very High">
      <formula>NOT(ISERROR(SEARCH("Very High",M5)))</formula>
    </cfRule>
    <cfRule type="containsText" dxfId="223" priority="2924" operator="containsText" text="High">
      <formula>NOT(ISERROR(SEARCH("High",M5)))</formula>
    </cfRule>
    <cfRule type="containsText" dxfId="222" priority="2923" operator="containsText" text="Very High">
      <formula>NOT(ISERROR(SEARCH("Very High",M5)))</formula>
    </cfRule>
    <cfRule type="containsText" dxfId="221" priority="2922" operator="containsText" text="Low">
      <formula>NOT(ISERROR(SEARCH("Low",M5)))</formula>
    </cfRule>
    <cfRule type="containsText" dxfId="220" priority="2921" operator="containsText" text="Very Low">
      <formula>NOT(ISERROR(SEARCH("Very Low",M5)))</formula>
    </cfRule>
    <cfRule type="colorScale" priority="2935">
      <colorScale>
        <cfvo type="min"/>
        <cfvo type="percentile" val="50"/>
        <cfvo type="max"/>
        <color rgb="FF63BE7B"/>
        <color rgb="FFFFEB84"/>
        <color rgb="FFF8696B"/>
      </colorScale>
    </cfRule>
    <cfRule type="containsText" priority="2934" operator="containsText" text="Very High">
      <formula>NOT(ISERROR(SEARCH("Very High",M5)))</formula>
    </cfRule>
    <cfRule type="containsText" dxfId="219" priority="2933" operator="containsText" text="Very High">
      <formula>NOT(ISERROR(SEARCH("Very High",M5)))</formula>
    </cfRule>
    <cfRule type="containsText" dxfId="218" priority="2932" operator="containsText" text="High">
      <formula>NOT(ISERROR(SEARCH("High",M5)))</formula>
    </cfRule>
    <cfRule type="containsText" dxfId="217" priority="2931" operator="containsText" text="Very High">
      <formula>NOT(ISERROR(SEARCH("Very High",M5)))</formula>
    </cfRule>
    <cfRule type="containsText" dxfId="216" priority="2930" operator="containsText" text="Moderate">
      <formula>NOT(ISERROR(SEARCH("Moderate",M5)))</formula>
    </cfRule>
  </conditionalFormatting>
  <conditionalFormatting sqref="M14">
    <cfRule type="colorScale" priority="2081">
      <colorScale>
        <cfvo type="min"/>
        <cfvo type="percentile" val="50"/>
        <cfvo type="max"/>
        <color rgb="FF63BE7B"/>
        <color rgb="FFFFEB84"/>
        <color rgb="FFF8696B"/>
      </colorScale>
    </cfRule>
  </conditionalFormatting>
  <conditionalFormatting sqref="M16:M20">
    <cfRule type="colorScale" priority="1005">
      <colorScale>
        <cfvo type="min"/>
        <cfvo type="percentile" val="50"/>
        <cfvo type="max"/>
        <color rgb="FF63BE7B"/>
        <color rgb="FFFFEB84"/>
        <color rgb="FFF8696B"/>
      </colorScale>
    </cfRule>
  </conditionalFormatting>
  <conditionalFormatting sqref="M14:O21">
    <cfRule type="containsText" dxfId="215" priority="875" operator="containsText" text="Very High">
      <formula>NOT(ISERROR(SEARCH("Very High",M14)))</formula>
    </cfRule>
    <cfRule type="containsText" dxfId="214" priority="873" operator="containsText" text="Very High">
      <formula>NOT(ISERROR(SEARCH("Very High",M14)))</formula>
    </cfRule>
    <cfRule type="containsText" dxfId="213" priority="868" operator="containsText" text="Moderate">
      <formula>NOT(ISERROR(SEARCH("Moderate",M14)))</formula>
    </cfRule>
    <cfRule type="containsText" dxfId="212" priority="874" operator="containsText" text="High">
      <formula>NOT(ISERROR(SEARCH("High",M14)))</formula>
    </cfRule>
    <cfRule type="containsText" dxfId="211" priority="872" operator="containsText" text="Moderate">
      <formula>NOT(ISERROR(SEARCH("Moderate",M14)))</formula>
    </cfRule>
    <cfRule type="containsText" dxfId="210" priority="871" operator="containsText" text="Low">
      <formula>NOT(ISERROR(SEARCH("Low",M14)))</formula>
    </cfRule>
    <cfRule type="containsText" dxfId="209" priority="870" operator="containsText" text="Very Low">
      <formula>NOT(ISERROR(SEARCH("Very Low",M14)))</formula>
    </cfRule>
    <cfRule type="containsText" dxfId="208" priority="869" operator="containsText" text="Very Low">
      <formula>NOT(ISERROR(SEARCH("Very Low",M14)))</formula>
    </cfRule>
  </conditionalFormatting>
  <conditionalFormatting sqref="M15:O15">
    <cfRule type="colorScale" priority="933">
      <colorScale>
        <cfvo type="min"/>
        <cfvo type="percentile" val="50"/>
        <cfvo type="max"/>
        <color rgb="FF63BE7B"/>
        <color rgb="FFFFEB84"/>
        <color rgb="FFF8696B"/>
      </colorScale>
    </cfRule>
  </conditionalFormatting>
  <conditionalFormatting sqref="M21:O21">
    <cfRule type="colorScale" priority="877">
      <colorScale>
        <cfvo type="min"/>
        <cfvo type="percentile" val="50"/>
        <cfvo type="max"/>
        <color rgb="FF63BE7B"/>
        <color rgb="FFFFEB84"/>
        <color rgb="FFF8696B"/>
      </colorScale>
    </cfRule>
  </conditionalFormatting>
  <conditionalFormatting sqref="N14">
    <cfRule type="colorScale" priority="2096">
      <colorScale>
        <cfvo type="min"/>
        <cfvo type="percentile" val="50"/>
        <cfvo type="max"/>
        <color rgb="FF63BE7B"/>
        <color rgb="FFFFEB84"/>
        <color rgb="FFF8696B"/>
      </colorScale>
    </cfRule>
  </conditionalFormatting>
  <conditionalFormatting sqref="N16:N20">
    <cfRule type="colorScale" priority="990">
      <colorScale>
        <cfvo type="min"/>
        <cfvo type="percentile" val="50"/>
        <cfvo type="max"/>
        <color rgb="FF63BE7B"/>
        <color rgb="FFFFEB84"/>
        <color rgb="FFF8696B"/>
      </colorScale>
    </cfRule>
  </conditionalFormatting>
  <conditionalFormatting sqref="O14">
    <cfRule type="colorScale" priority="2097">
      <colorScale>
        <cfvo type="min"/>
        <cfvo type="percentile" val="50"/>
        <cfvo type="max"/>
        <color rgb="FF63BE7B"/>
        <color rgb="FFFFEB84"/>
        <color rgb="FFF8696B"/>
      </colorScale>
    </cfRule>
  </conditionalFormatting>
  <conditionalFormatting sqref="O16:O20">
    <cfRule type="colorScale" priority="975">
      <colorScale>
        <cfvo type="min"/>
        <cfvo type="percentile" val="50"/>
        <cfvo type="max"/>
        <color rgb="FF63BE7B"/>
        <color rgb="FFFFEB84"/>
        <color rgb="FFF8696B"/>
      </colorScale>
    </cfRule>
  </conditionalFormatting>
  <conditionalFormatting sqref="P14:P21">
    <cfRule type="colorScale" priority="3011">
      <colorScale>
        <cfvo type="min"/>
        <cfvo type="percentile" val="50"/>
        <cfvo type="max"/>
        <color rgb="FF63BE7B"/>
        <color rgb="FFFFEB84"/>
        <color rgb="FFF8696B"/>
      </colorScale>
    </cfRule>
  </conditionalFormatting>
  <conditionalFormatting sqref="Q5:Q13 I15:I21">
    <cfRule type="containsText" dxfId="207" priority="947" operator="containsText" text="Very High">
      <formula>NOT(ISERROR(SEARCH("Very High",I5)))</formula>
    </cfRule>
    <cfRule type="containsText" dxfId="206" priority="949" operator="containsText" text="Very High">
      <formula>NOT(ISERROR(SEARCH("Very High",I5)))</formula>
    </cfRule>
    <cfRule type="containsText" dxfId="205" priority="948" operator="containsText" text="High">
      <formula>NOT(ISERROR(SEARCH("High",I5)))</formula>
    </cfRule>
    <cfRule type="containsText" dxfId="204" priority="946" operator="containsText" text="Low">
      <formula>NOT(ISERROR(SEARCH("Low",I5)))</formula>
    </cfRule>
  </conditionalFormatting>
  <conditionalFormatting sqref="Q5:Q13">
    <cfRule type="containsText" dxfId="203" priority="701" operator="containsText" text="Very High">
      <formula>NOT(ISERROR(SEARCH("Very High",Q5)))</formula>
    </cfRule>
    <cfRule type="containsText" dxfId="202" priority="702" operator="containsText" text="High">
      <formula>NOT(ISERROR(SEARCH("High",Q5)))</formula>
    </cfRule>
    <cfRule type="containsText" dxfId="201" priority="703" operator="containsText" text="Very High">
      <formula>NOT(ISERROR(SEARCH("Very High",Q5)))</formula>
    </cfRule>
    <cfRule type="containsText" priority="659" operator="containsText" text="Very High">
      <formula>NOT(ISERROR(SEARCH("Very High",Q5)))</formula>
    </cfRule>
    <cfRule type="containsText" dxfId="200" priority="696" operator="containsText" text="Moderate">
      <formula>NOT(ISERROR(SEARCH("Moderate",Q5)))</formula>
    </cfRule>
    <cfRule type="containsText" dxfId="199" priority="697" operator="containsText" text="Very Low">
      <formula>NOT(ISERROR(SEARCH("Very Low",Q5)))</formula>
    </cfRule>
    <cfRule type="containsText" dxfId="198" priority="698" operator="containsText" text="Very Low">
      <formula>NOT(ISERROR(SEARCH("Very Low",Q5)))</formula>
    </cfRule>
    <cfRule type="containsText" dxfId="197" priority="699" operator="containsText" text="Low">
      <formula>NOT(ISERROR(SEARCH("Low",Q5)))</formula>
    </cfRule>
    <cfRule type="containsText" dxfId="196" priority="700" operator="containsText" text="Moderate">
      <formula>NOT(ISERROR(SEARCH("Moderate",Q5)))</formula>
    </cfRule>
  </conditionalFormatting>
  <conditionalFormatting sqref="Q5:Q21">
    <cfRule type="colorScale" priority="3013">
      <colorScale>
        <cfvo type="min"/>
        <cfvo type="percentile" val="50"/>
        <cfvo type="max"/>
        <color rgb="FF63BE7B"/>
        <color rgb="FFFFEB84"/>
        <color rgb="FFF8696B"/>
      </colorScale>
    </cfRule>
  </conditionalFormatting>
  <conditionalFormatting sqref="V16:V30">
    <cfRule type="containsText" dxfId="195" priority="499" operator="containsText" text="Very High">
      <formula>NOT(ISERROR(SEARCH("Very High",V16)))</formula>
    </cfRule>
    <cfRule type="containsText" priority="510" operator="containsText" text="Very High">
      <formula>NOT(ISERROR(SEARCH("Very High",V16)))</formula>
    </cfRule>
    <cfRule type="colorScale" priority="511">
      <colorScale>
        <cfvo type="min"/>
        <cfvo type="percentile" val="50"/>
        <cfvo type="max"/>
        <color rgb="FF63BE7B"/>
        <color rgb="FFFFEB84"/>
        <color rgb="FFF8696B"/>
      </colorScale>
    </cfRule>
    <cfRule type="containsText" dxfId="194" priority="501" operator="containsText" text="Very High">
      <formula>NOT(ISERROR(SEARCH("Very High",V16)))</formula>
    </cfRule>
    <cfRule type="containsText" dxfId="193" priority="502" operator="containsText" text="Moderate">
      <formula>NOT(ISERROR(SEARCH("Moderate",V16)))</formula>
    </cfRule>
    <cfRule type="containsText" dxfId="192" priority="506" operator="containsText" text="Moderate">
      <formula>NOT(ISERROR(SEARCH("Moderate",V16)))</formula>
    </cfRule>
    <cfRule type="containsText" dxfId="191" priority="503" operator="containsText" text="Very Low">
      <formula>NOT(ISERROR(SEARCH("Very Low",V16)))</formula>
    </cfRule>
    <cfRule type="containsText" dxfId="190" priority="504" operator="containsText" text="Very Low">
      <formula>NOT(ISERROR(SEARCH("Very Low",V16)))</formula>
    </cfRule>
    <cfRule type="containsText" dxfId="189" priority="497" operator="containsText" text="Very Low">
      <formula>NOT(ISERROR(SEARCH("Very Low",V16)))</formula>
    </cfRule>
    <cfRule type="containsText" dxfId="188" priority="505" operator="containsText" text="Low">
      <formula>NOT(ISERROR(SEARCH("Low",V16)))</formula>
    </cfRule>
    <cfRule type="containsText" dxfId="187" priority="498" operator="containsText" text="Low">
      <formula>NOT(ISERROR(SEARCH("Low",V16)))</formula>
    </cfRule>
    <cfRule type="containsText" dxfId="186" priority="500" operator="containsText" text="High">
      <formula>NOT(ISERROR(SEARCH("High",V16)))</formula>
    </cfRule>
    <cfRule type="containsText" dxfId="185" priority="507" operator="containsText" text="Very High">
      <formula>NOT(ISERROR(SEARCH("Very High",V16)))</formula>
    </cfRule>
    <cfRule type="containsText" dxfId="184" priority="508" operator="containsText" text="High">
      <formula>NOT(ISERROR(SEARCH("High",V16)))</formula>
    </cfRule>
    <cfRule type="containsText" dxfId="183" priority="509" operator="containsText" text="Very High">
      <formula>NOT(ISERROR(SEARCH("Very High",V16)))</formula>
    </cfRule>
  </conditionalFormatting>
  <conditionalFormatting sqref="V20:Y25">
    <cfRule type="containsText" dxfId="182" priority="517" operator="containsText" text="Very High">
      <formula>NOT(ISERROR(SEARCH("Very High",V20)))</formula>
    </cfRule>
    <cfRule type="containsText" dxfId="181" priority="518" operator="containsText" text="High">
      <formula>NOT(ISERROR(SEARCH("High",V20)))</formula>
    </cfRule>
    <cfRule type="containsText" dxfId="180" priority="519" operator="containsText" text="Very High">
      <formula>NOT(ISERROR(SEARCH("Very High",V20)))</formula>
    </cfRule>
    <cfRule type="containsText" priority="520" operator="containsText" text="Very High">
      <formula>NOT(ISERROR(SEARCH("Very High",V20)))</formula>
    </cfRule>
    <cfRule type="colorScale" priority="521">
      <colorScale>
        <cfvo type="min"/>
        <cfvo type="percentile" val="50"/>
        <cfvo type="max"/>
        <color rgb="FF63BE7B"/>
        <color rgb="FFFFEB84"/>
        <color rgb="FFF8696B"/>
      </colorScale>
    </cfRule>
    <cfRule type="containsText" dxfId="179" priority="432" operator="containsText" text="Very Low">
      <formula>NOT(ISERROR(SEARCH("Very Low",V20)))</formula>
    </cfRule>
    <cfRule type="containsText" dxfId="178" priority="433" operator="containsText" text="Low">
      <formula>NOT(ISERROR(SEARCH("Low",V20)))</formula>
    </cfRule>
    <cfRule type="containsText" dxfId="177" priority="434" operator="containsText" text="Very High">
      <formula>NOT(ISERROR(SEARCH("Very High",V20)))</formula>
    </cfRule>
    <cfRule type="containsText" dxfId="176" priority="435" operator="containsText" text="High">
      <formula>NOT(ISERROR(SEARCH("High",V20)))</formula>
    </cfRule>
    <cfRule type="containsText" dxfId="175" priority="436" operator="containsText" text="Very High">
      <formula>NOT(ISERROR(SEARCH("Very High",V20)))</formula>
    </cfRule>
    <cfRule type="containsText" dxfId="174" priority="512" operator="containsText" text="Moderate">
      <formula>NOT(ISERROR(SEARCH("Moderate",V20)))</formula>
    </cfRule>
    <cfRule type="containsText" dxfId="173" priority="513" operator="containsText" text="Very Low">
      <formula>NOT(ISERROR(SEARCH("Very Low",V20)))</formula>
    </cfRule>
    <cfRule type="containsText" dxfId="172" priority="514" operator="containsText" text="Very Low">
      <formula>NOT(ISERROR(SEARCH("Very Low",V20)))</formula>
    </cfRule>
    <cfRule type="containsText" dxfId="171" priority="515" operator="containsText" text="Low">
      <formula>NOT(ISERROR(SEARCH("Low",V20)))</formula>
    </cfRule>
    <cfRule type="containsText" dxfId="170" priority="516" operator="containsText" text="Moderate">
      <formula>NOT(ISERROR(SEARCH("Moderate",V20)))</formula>
    </cfRule>
  </conditionalFormatting>
  <conditionalFormatting sqref="V27:Y30">
    <cfRule type="containsText" dxfId="169" priority="361" operator="containsText" text="Very High">
      <formula>NOT(ISERROR(SEARCH("Very High",V27)))</formula>
    </cfRule>
    <cfRule type="containsText" dxfId="168" priority="369" operator="containsText" text="Very High">
      <formula>NOT(ISERROR(SEARCH("Very High",V27)))</formula>
    </cfRule>
    <cfRule type="containsText" dxfId="167" priority="368" operator="containsText" text="High">
      <formula>NOT(ISERROR(SEARCH("High",V27)))</formula>
    </cfRule>
    <cfRule type="containsText" dxfId="166" priority="367" operator="containsText" text="Very High">
      <formula>NOT(ISERROR(SEARCH("Very High",V27)))</formula>
    </cfRule>
    <cfRule type="containsText" dxfId="165" priority="366" operator="containsText" text="Moderate">
      <formula>NOT(ISERROR(SEARCH("Moderate",V27)))</formula>
    </cfRule>
    <cfRule type="containsText" dxfId="164" priority="365" operator="containsText" text="Low">
      <formula>NOT(ISERROR(SEARCH("Low",V27)))</formula>
    </cfRule>
    <cfRule type="containsText" dxfId="163" priority="364" operator="containsText" text="Very Low">
      <formula>NOT(ISERROR(SEARCH("Very Low",V27)))</formula>
    </cfRule>
    <cfRule type="colorScale" priority="371">
      <colorScale>
        <cfvo type="min"/>
        <cfvo type="percentile" val="50"/>
        <cfvo type="max"/>
        <color rgb="FF63BE7B"/>
        <color rgb="FFFFEB84"/>
        <color rgb="FFF8696B"/>
      </colorScale>
    </cfRule>
    <cfRule type="containsText" dxfId="162" priority="362" operator="containsText" text="Moderate">
      <formula>NOT(ISERROR(SEARCH("Moderate",V27)))</formula>
    </cfRule>
    <cfRule type="containsText" priority="370" operator="containsText" text="Very High">
      <formula>NOT(ISERROR(SEARCH("Very High",V27)))</formula>
    </cfRule>
    <cfRule type="containsText" dxfId="161" priority="357" operator="containsText" text="Very Low">
      <formula>NOT(ISERROR(SEARCH("Very Low",V27)))</formula>
    </cfRule>
    <cfRule type="containsText" dxfId="160" priority="358" operator="containsText" text="Low">
      <formula>NOT(ISERROR(SEARCH("Low",V27)))</formula>
    </cfRule>
    <cfRule type="containsText" dxfId="159" priority="359" operator="containsText" text="Very High">
      <formula>NOT(ISERROR(SEARCH("Very High",V27)))</formula>
    </cfRule>
    <cfRule type="containsText" dxfId="158" priority="363" operator="containsText" text="Very Low">
      <formula>NOT(ISERROR(SEARCH("Very Low",V27)))</formula>
    </cfRule>
    <cfRule type="containsText" dxfId="157" priority="360" operator="containsText" text="High">
      <formula>NOT(ISERROR(SEARCH("High",V27)))</formula>
    </cfRule>
  </conditionalFormatting>
  <conditionalFormatting sqref="W16:W19">
    <cfRule type="containsText" dxfId="156" priority="490" operator="containsText" text="Low">
      <formula>NOT(ISERROR(SEARCH("Low",W16)))</formula>
    </cfRule>
    <cfRule type="containsText" dxfId="155" priority="484" operator="containsText" text="Very High">
      <formula>NOT(ISERROR(SEARCH("Very High",W16)))</formula>
    </cfRule>
    <cfRule type="containsText" dxfId="154" priority="483" operator="containsText" text="Low">
      <formula>NOT(ISERROR(SEARCH("Low",W16)))</formula>
    </cfRule>
    <cfRule type="containsText" dxfId="153" priority="482" operator="containsText" text="Very Low">
      <formula>NOT(ISERROR(SEARCH("Very Low",W16)))</formula>
    </cfRule>
    <cfRule type="colorScale" priority="496">
      <colorScale>
        <cfvo type="min"/>
        <cfvo type="percentile" val="50"/>
        <cfvo type="max"/>
        <color rgb="FF63BE7B"/>
        <color rgb="FFFFEB84"/>
        <color rgb="FFF8696B"/>
      </colorScale>
    </cfRule>
    <cfRule type="containsText" priority="495" operator="containsText" text="Very High">
      <formula>NOT(ISERROR(SEARCH("Very High",W16)))</formula>
    </cfRule>
    <cfRule type="containsText" dxfId="152" priority="494" operator="containsText" text="Very High">
      <formula>NOT(ISERROR(SEARCH("Very High",W16)))</formula>
    </cfRule>
    <cfRule type="containsText" dxfId="151" priority="493" operator="containsText" text="High">
      <formula>NOT(ISERROR(SEARCH("High",W16)))</formula>
    </cfRule>
    <cfRule type="containsText" dxfId="150" priority="492" operator="containsText" text="Very High">
      <formula>NOT(ISERROR(SEARCH("Very High",W16)))</formula>
    </cfRule>
    <cfRule type="containsText" dxfId="149" priority="491" operator="containsText" text="Moderate">
      <formula>NOT(ISERROR(SEARCH("Moderate",W16)))</formula>
    </cfRule>
    <cfRule type="containsText" dxfId="148" priority="489" operator="containsText" text="Very Low">
      <formula>NOT(ISERROR(SEARCH("Very Low",W16)))</formula>
    </cfRule>
    <cfRule type="containsText" dxfId="147" priority="488" operator="containsText" text="Very Low">
      <formula>NOT(ISERROR(SEARCH("Very Low",W16)))</formula>
    </cfRule>
    <cfRule type="containsText" dxfId="146" priority="487" operator="containsText" text="Moderate">
      <formula>NOT(ISERROR(SEARCH("Moderate",W16)))</formula>
    </cfRule>
    <cfRule type="containsText" dxfId="145" priority="486" operator="containsText" text="Very High">
      <formula>NOT(ISERROR(SEARCH("Very High",W16)))</formula>
    </cfRule>
    <cfRule type="containsText" dxfId="144" priority="485" operator="containsText" text="High">
      <formula>NOT(ISERROR(SEARCH("High",W16)))</formula>
    </cfRule>
  </conditionalFormatting>
  <conditionalFormatting sqref="W21:W26">
    <cfRule type="colorScale" priority="431">
      <colorScale>
        <cfvo type="min"/>
        <cfvo type="percentile" val="50"/>
        <cfvo type="max"/>
        <color rgb="FF63BE7B"/>
        <color rgb="FFFFEB84"/>
        <color rgb="FFF8696B"/>
      </colorScale>
    </cfRule>
  </conditionalFormatting>
  <conditionalFormatting sqref="W28:W30">
    <cfRule type="colorScale" priority="356">
      <colorScale>
        <cfvo type="min"/>
        <cfvo type="percentile" val="50"/>
        <cfvo type="max"/>
        <color rgb="FF63BE7B"/>
        <color rgb="FFFFEB84"/>
        <color rgb="FFF8696B"/>
      </colorScale>
    </cfRule>
  </conditionalFormatting>
  <conditionalFormatting sqref="W20:Y20">
    <cfRule type="containsText" dxfId="143" priority="379" operator="containsText" text="Very Low">
      <formula>NOT(ISERROR(SEARCH("Very Low",W20)))</formula>
    </cfRule>
    <cfRule type="colorScale" priority="386">
      <colorScale>
        <cfvo type="min"/>
        <cfvo type="percentile" val="50"/>
        <cfvo type="max"/>
        <color rgb="FF63BE7B"/>
        <color rgb="FFFFEB84"/>
        <color rgb="FFF8696B"/>
      </colorScale>
    </cfRule>
    <cfRule type="containsText" priority="385" operator="containsText" text="Very High">
      <formula>NOT(ISERROR(SEARCH("Very High",W20)))</formula>
    </cfRule>
    <cfRule type="containsText" dxfId="142" priority="384" operator="containsText" text="Very High">
      <formula>NOT(ISERROR(SEARCH("Very High",W20)))</formula>
    </cfRule>
    <cfRule type="containsText" dxfId="141" priority="383" operator="containsText" text="High">
      <formula>NOT(ISERROR(SEARCH("High",W20)))</formula>
    </cfRule>
    <cfRule type="containsText" dxfId="140" priority="382" operator="containsText" text="Very High">
      <formula>NOT(ISERROR(SEARCH("Very High",W20)))</formula>
    </cfRule>
    <cfRule type="containsText" dxfId="139" priority="381" operator="containsText" text="Moderate">
      <formula>NOT(ISERROR(SEARCH("Moderate",W20)))</formula>
    </cfRule>
    <cfRule type="containsText" dxfId="138" priority="380" operator="containsText" text="Low">
      <formula>NOT(ISERROR(SEARCH("Low",W20)))</formula>
    </cfRule>
    <cfRule type="containsText" dxfId="137" priority="378" operator="containsText" text="Very Low">
      <formula>NOT(ISERROR(SEARCH("Very Low",W20)))</formula>
    </cfRule>
    <cfRule type="containsText" dxfId="136" priority="377" operator="containsText" text="Moderate">
      <formula>NOT(ISERROR(SEARCH("Moderate",W20)))</formula>
    </cfRule>
    <cfRule type="containsText" dxfId="135" priority="376" operator="containsText" text="Very High">
      <formula>NOT(ISERROR(SEARCH("Very High",W20)))</formula>
    </cfRule>
    <cfRule type="containsText" dxfId="134" priority="375" operator="containsText" text="High">
      <formula>NOT(ISERROR(SEARCH("High",W20)))</formula>
    </cfRule>
    <cfRule type="containsText" dxfId="133" priority="374" operator="containsText" text="Very High">
      <formula>NOT(ISERROR(SEARCH("Very High",W20)))</formula>
    </cfRule>
    <cfRule type="containsText" dxfId="132" priority="373" operator="containsText" text="Low">
      <formula>NOT(ISERROR(SEARCH("Low",W20)))</formula>
    </cfRule>
    <cfRule type="containsText" dxfId="131" priority="372" operator="containsText" text="Very Low">
      <formula>NOT(ISERROR(SEARCH("Very Low",W20)))</formula>
    </cfRule>
  </conditionalFormatting>
  <conditionalFormatting sqref="W21:Y30">
    <cfRule type="containsText" dxfId="130" priority="309" operator="containsText" text="Very High">
      <formula>NOT(ISERROR(SEARCH("Very High",W21)))</formula>
    </cfRule>
    <cfRule type="containsText" priority="310" operator="containsText" text="Very High">
      <formula>NOT(ISERROR(SEARCH("Very High",W21)))</formula>
    </cfRule>
    <cfRule type="containsText" dxfId="129" priority="297" operator="containsText" text="Very Low">
      <formula>NOT(ISERROR(SEARCH("Very Low",W21)))</formula>
    </cfRule>
    <cfRule type="containsText" dxfId="128" priority="298" operator="containsText" text="Low">
      <formula>NOT(ISERROR(SEARCH("Low",W21)))</formula>
    </cfRule>
    <cfRule type="containsText" dxfId="127" priority="299" operator="containsText" text="Very High">
      <formula>NOT(ISERROR(SEARCH("Very High",W21)))</formula>
    </cfRule>
    <cfRule type="containsText" dxfId="126" priority="300" operator="containsText" text="High">
      <formula>NOT(ISERROR(SEARCH("High",W21)))</formula>
    </cfRule>
    <cfRule type="containsText" dxfId="125" priority="301" operator="containsText" text="Very High">
      <formula>NOT(ISERROR(SEARCH("Very High",W21)))</formula>
    </cfRule>
    <cfRule type="containsText" dxfId="124" priority="302" operator="containsText" text="Moderate">
      <formula>NOT(ISERROR(SEARCH("Moderate",W21)))</formula>
    </cfRule>
    <cfRule type="containsText" dxfId="123" priority="303" operator="containsText" text="Very Low">
      <formula>NOT(ISERROR(SEARCH("Very Low",W21)))</formula>
    </cfRule>
    <cfRule type="containsText" dxfId="122" priority="308" operator="containsText" text="High">
      <formula>NOT(ISERROR(SEARCH("High",W21)))</formula>
    </cfRule>
    <cfRule type="containsText" dxfId="121" priority="304" operator="containsText" text="Very Low">
      <formula>NOT(ISERROR(SEARCH("Very Low",W21)))</formula>
    </cfRule>
    <cfRule type="containsText" dxfId="120" priority="305" operator="containsText" text="Low">
      <formula>NOT(ISERROR(SEARCH("Low",W21)))</formula>
    </cfRule>
    <cfRule type="containsText" dxfId="119" priority="306" operator="containsText" text="Moderate">
      <formula>NOT(ISERROR(SEARCH("Moderate",W21)))</formula>
    </cfRule>
    <cfRule type="containsText" dxfId="118" priority="307" operator="containsText" text="Very High">
      <formula>NOT(ISERROR(SEARCH("Very High",W21)))</formula>
    </cfRule>
  </conditionalFormatting>
  <conditionalFormatting sqref="W27:Y27">
    <cfRule type="colorScale" priority="311">
      <colorScale>
        <cfvo type="min"/>
        <cfvo type="percentile" val="50"/>
        <cfvo type="max"/>
        <color rgb="FF63BE7B"/>
        <color rgb="FFFFEB84"/>
        <color rgb="FFF8696B"/>
      </colorScale>
    </cfRule>
  </conditionalFormatting>
  <conditionalFormatting sqref="X16:X19">
    <cfRule type="containsText" dxfId="117" priority="479" operator="containsText" text="Very High">
      <formula>NOT(ISERROR(SEARCH("Very High",X16)))</formula>
    </cfRule>
    <cfRule type="containsText" dxfId="116" priority="468" operator="containsText" text="Low">
      <formula>NOT(ISERROR(SEARCH("Low",X16)))</formula>
    </cfRule>
    <cfRule type="containsText" dxfId="115" priority="467" operator="containsText" text="Very Low">
      <formula>NOT(ISERROR(SEARCH("Very Low",X16)))</formula>
    </cfRule>
    <cfRule type="containsText" dxfId="114" priority="471" operator="containsText" text="Very High">
      <formula>NOT(ISERROR(SEARCH("Very High",X16)))</formula>
    </cfRule>
    <cfRule type="colorScale" priority="481">
      <colorScale>
        <cfvo type="min"/>
        <cfvo type="percentile" val="50"/>
        <cfvo type="max"/>
        <color rgb="FF63BE7B"/>
        <color rgb="FFFFEB84"/>
        <color rgb="FFF8696B"/>
      </colorScale>
    </cfRule>
    <cfRule type="containsText" priority="480" operator="containsText" text="Very High">
      <formula>NOT(ISERROR(SEARCH("Very High",X16)))</formula>
    </cfRule>
    <cfRule type="containsText" dxfId="113" priority="478" operator="containsText" text="High">
      <formula>NOT(ISERROR(SEARCH("High",X16)))</formula>
    </cfRule>
    <cfRule type="containsText" dxfId="112" priority="477" operator="containsText" text="Very High">
      <formula>NOT(ISERROR(SEARCH("Very High",X16)))</formula>
    </cfRule>
    <cfRule type="containsText" dxfId="111" priority="476" operator="containsText" text="Moderate">
      <formula>NOT(ISERROR(SEARCH("Moderate",X16)))</formula>
    </cfRule>
    <cfRule type="containsText" dxfId="110" priority="475" operator="containsText" text="Low">
      <formula>NOT(ISERROR(SEARCH("Low",X16)))</formula>
    </cfRule>
    <cfRule type="containsText" dxfId="109" priority="474" operator="containsText" text="Very Low">
      <formula>NOT(ISERROR(SEARCH("Very Low",X16)))</formula>
    </cfRule>
    <cfRule type="containsText" dxfId="108" priority="473" operator="containsText" text="Very Low">
      <formula>NOT(ISERROR(SEARCH("Very Low",X16)))</formula>
    </cfRule>
    <cfRule type="containsText" dxfId="107" priority="472" operator="containsText" text="Moderate">
      <formula>NOT(ISERROR(SEARCH("Moderate",X16)))</formula>
    </cfRule>
    <cfRule type="containsText" dxfId="106" priority="470" operator="containsText" text="High">
      <formula>NOT(ISERROR(SEARCH("High",X16)))</formula>
    </cfRule>
    <cfRule type="containsText" dxfId="105" priority="469" operator="containsText" text="Very High">
      <formula>NOT(ISERROR(SEARCH("Very High",X16)))</formula>
    </cfRule>
  </conditionalFormatting>
  <conditionalFormatting sqref="X21:X26">
    <cfRule type="colorScale" priority="416">
      <colorScale>
        <cfvo type="min"/>
        <cfvo type="percentile" val="50"/>
        <cfvo type="max"/>
        <color rgb="FF63BE7B"/>
        <color rgb="FFFFEB84"/>
        <color rgb="FFF8696B"/>
      </colorScale>
    </cfRule>
  </conditionalFormatting>
  <conditionalFormatting sqref="X28:X30">
    <cfRule type="colorScale" priority="341">
      <colorScale>
        <cfvo type="min"/>
        <cfvo type="percentile" val="50"/>
        <cfvo type="max"/>
        <color rgb="FF63BE7B"/>
        <color rgb="FFFFEB84"/>
        <color rgb="FFF8696B"/>
      </colorScale>
    </cfRule>
  </conditionalFormatting>
  <conditionalFormatting sqref="Y16:Y19">
    <cfRule type="containsText" dxfId="104" priority="455" operator="containsText" text="High">
      <formula>NOT(ISERROR(SEARCH("High",Y16)))</formula>
    </cfRule>
    <cfRule type="containsText" dxfId="103" priority="454" operator="containsText" text="Very High">
      <formula>NOT(ISERROR(SEARCH("Very High",Y16)))</formula>
    </cfRule>
    <cfRule type="containsText" dxfId="102" priority="453" operator="containsText" text="Low">
      <formula>NOT(ISERROR(SEARCH("Low",Y16)))</formula>
    </cfRule>
    <cfRule type="containsText" dxfId="101" priority="452" operator="containsText" text="Very Low">
      <formula>NOT(ISERROR(SEARCH("Very Low",Y16)))</formula>
    </cfRule>
    <cfRule type="colorScale" priority="466">
      <colorScale>
        <cfvo type="min"/>
        <cfvo type="percentile" val="50"/>
        <cfvo type="max"/>
        <color rgb="FF63BE7B"/>
        <color rgb="FFFFEB84"/>
        <color rgb="FFF8696B"/>
      </colorScale>
    </cfRule>
    <cfRule type="containsText" priority="465" operator="containsText" text="Very High">
      <formula>NOT(ISERROR(SEARCH("Very High",Y16)))</formula>
    </cfRule>
    <cfRule type="containsText" dxfId="100" priority="464" operator="containsText" text="Very High">
      <formula>NOT(ISERROR(SEARCH("Very High",Y16)))</formula>
    </cfRule>
    <cfRule type="containsText" dxfId="99" priority="463" operator="containsText" text="High">
      <formula>NOT(ISERROR(SEARCH("High",Y16)))</formula>
    </cfRule>
    <cfRule type="containsText" dxfId="98" priority="462" operator="containsText" text="Very High">
      <formula>NOT(ISERROR(SEARCH("Very High",Y16)))</formula>
    </cfRule>
    <cfRule type="containsText" dxfId="97" priority="461" operator="containsText" text="Moderate">
      <formula>NOT(ISERROR(SEARCH("Moderate",Y16)))</formula>
    </cfRule>
    <cfRule type="containsText" dxfId="96" priority="460" operator="containsText" text="Low">
      <formula>NOT(ISERROR(SEARCH("Low",Y16)))</formula>
    </cfRule>
    <cfRule type="containsText" dxfId="95" priority="459" operator="containsText" text="Very Low">
      <formula>NOT(ISERROR(SEARCH("Very Low",Y16)))</formula>
    </cfRule>
    <cfRule type="containsText" dxfId="94" priority="458" operator="containsText" text="Very Low">
      <formula>NOT(ISERROR(SEARCH("Very Low",Y16)))</formula>
    </cfRule>
    <cfRule type="containsText" dxfId="93" priority="457" operator="containsText" text="Moderate">
      <formula>NOT(ISERROR(SEARCH("Moderate",Y16)))</formula>
    </cfRule>
    <cfRule type="containsText" dxfId="92" priority="456" operator="containsText" text="Very High">
      <formula>NOT(ISERROR(SEARCH("Very High",Y16)))</formula>
    </cfRule>
  </conditionalFormatting>
  <conditionalFormatting sqref="Y21:Y26">
    <cfRule type="colorScale" priority="401">
      <colorScale>
        <cfvo type="min"/>
        <cfvo type="percentile" val="50"/>
        <cfvo type="max"/>
        <color rgb="FF63BE7B"/>
        <color rgb="FFFFEB84"/>
        <color rgb="FFF8696B"/>
      </colorScale>
    </cfRule>
  </conditionalFormatting>
  <conditionalFormatting sqref="Y28:Y30">
    <cfRule type="colorScale" priority="326">
      <colorScale>
        <cfvo type="min"/>
        <cfvo type="percentile" val="50"/>
        <cfvo type="max"/>
        <color rgb="FF63BE7B"/>
        <color rgb="FFFFEB84"/>
        <color rgb="FFF8696B"/>
      </colorScale>
    </cfRule>
  </conditionalFormatting>
  <conditionalFormatting sqref="Z16:Z19">
    <cfRule type="containsText" dxfId="91" priority="441" operator="containsText" text="Very High">
      <formula>NOT(ISERROR(SEARCH("Very High",Z16)))</formula>
    </cfRule>
    <cfRule type="containsText" dxfId="90" priority="448" operator="containsText" text="High">
      <formula>NOT(ISERROR(SEARCH("High",Z16)))</formula>
    </cfRule>
    <cfRule type="containsText" dxfId="89" priority="447" operator="containsText" text="Very High">
      <formula>NOT(ISERROR(SEARCH("Very High",Z16)))</formula>
    </cfRule>
    <cfRule type="containsText" dxfId="88" priority="446" operator="containsText" text="Moderate">
      <formula>NOT(ISERROR(SEARCH("Moderate",Z16)))</formula>
    </cfRule>
    <cfRule type="containsText" dxfId="87" priority="445" operator="containsText" text="Low">
      <formula>NOT(ISERROR(SEARCH("Low",Z16)))</formula>
    </cfRule>
    <cfRule type="containsText" dxfId="86" priority="439" operator="containsText" text="Very High">
      <formula>NOT(ISERROR(SEARCH("Very High",Z16)))</formula>
    </cfRule>
    <cfRule type="containsText" dxfId="85" priority="444" operator="containsText" text="Very Low">
      <formula>NOT(ISERROR(SEARCH("Very Low",Z16)))</formula>
    </cfRule>
    <cfRule type="containsText" dxfId="84" priority="443" operator="containsText" text="Very Low">
      <formula>NOT(ISERROR(SEARCH("Very Low",Z16)))</formula>
    </cfRule>
    <cfRule type="containsText" dxfId="83" priority="442" operator="containsText" text="Moderate">
      <formula>NOT(ISERROR(SEARCH("Moderate",Z16)))</formula>
    </cfRule>
    <cfRule type="containsText" dxfId="82" priority="437" operator="containsText" text="Very Low">
      <formula>NOT(ISERROR(SEARCH("Very Low",Z16)))</formula>
    </cfRule>
    <cfRule type="containsText" dxfId="81" priority="440" operator="containsText" text="High">
      <formula>NOT(ISERROR(SEARCH("High",Z16)))</formula>
    </cfRule>
    <cfRule type="containsText" dxfId="80" priority="438" operator="containsText" text="Low">
      <formula>NOT(ISERROR(SEARCH("Low",Z16)))</formula>
    </cfRule>
    <cfRule type="colorScale" priority="451">
      <colorScale>
        <cfvo type="min"/>
        <cfvo type="percentile" val="50"/>
        <cfvo type="max"/>
        <color rgb="FF63BE7B"/>
        <color rgb="FFFFEB84"/>
        <color rgb="FFF8696B"/>
      </colorScale>
    </cfRule>
    <cfRule type="containsText" priority="450" operator="containsText" text="Very High">
      <formula>NOT(ISERROR(SEARCH("Very High",Z16)))</formula>
    </cfRule>
    <cfRule type="containsText" dxfId="79" priority="449" operator="containsText" text="Very High">
      <formula>NOT(ISERROR(SEARCH("Very High",Z16)))</formula>
    </cfRule>
  </conditionalFormatting>
  <conditionalFormatting sqref="Z20:Z23">
    <cfRule type="containsText" dxfId="78" priority="269" operator="containsText" text="Very High">
      <formula>NOT(ISERROR(SEARCH("Very High",Z20)))</formula>
    </cfRule>
    <cfRule type="containsText" dxfId="77" priority="270" operator="containsText" text="High">
      <formula>NOT(ISERROR(SEARCH("High",Z20)))</formula>
    </cfRule>
    <cfRule type="containsText" dxfId="76" priority="271" operator="containsText" text="Very High">
      <formula>NOT(ISERROR(SEARCH("Very High",Z20)))</formula>
    </cfRule>
    <cfRule type="containsText" dxfId="75" priority="290" operator="containsText" text="Low">
      <formula>NOT(ISERROR(SEARCH("Low",Z20)))</formula>
    </cfRule>
    <cfRule type="containsText" dxfId="74" priority="289" operator="containsText" text="Very Low">
      <formula>NOT(ISERROR(SEARCH("Very Low",Z20)))</formula>
    </cfRule>
    <cfRule type="containsText" dxfId="73" priority="288" operator="containsText" text="Very Low">
      <formula>NOT(ISERROR(SEARCH("Very Low",Z20)))</formula>
    </cfRule>
    <cfRule type="containsText" dxfId="72" priority="292" operator="containsText" text="Very High">
      <formula>NOT(ISERROR(SEARCH("Very High",Z20)))</formula>
    </cfRule>
    <cfRule type="colorScale" priority="296">
      <colorScale>
        <cfvo type="min"/>
        <cfvo type="percentile" val="50"/>
        <cfvo type="max"/>
        <color rgb="FF63BE7B"/>
        <color rgb="FFFFEB84"/>
        <color rgb="FFF8696B"/>
      </colorScale>
    </cfRule>
    <cfRule type="containsText" dxfId="71" priority="293" operator="containsText" text="High">
      <formula>NOT(ISERROR(SEARCH("High",Z20)))</formula>
    </cfRule>
    <cfRule type="containsText" dxfId="70" priority="291" operator="containsText" text="Moderate">
      <formula>NOT(ISERROR(SEARCH("Moderate",Z20)))</formula>
    </cfRule>
    <cfRule type="containsText" dxfId="69" priority="294" operator="containsText" text="Very High">
      <formula>NOT(ISERROR(SEARCH("Very High",Z20)))</formula>
    </cfRule>
    <cfRule type="containsText" dxfId="68" priority="287" operator="containsText" text="Moderate">
      <formula>NOT(ISERROR(SEARCH("Moderate",Z20)))</formula>
    </cfRule>
    <cfRule type="containsText" dxfId="67" priority="268" operator="containsText" text="Low">
      <formula>NOT(ISERROR(SEARCH("Low",Z20)))</formula>
    </cfRule>
    <cfRule type="containsText" dxfId="66" priority="267" operator="containsText" text="Very Low">
      <formula>NOT(ISERROR(SEARCH("Very Low",Z20)))</formula>
    </cfRule>
  </conditionalFormatting>
  <conditionalFormatting sqref="Z20:Z30">
    <cfRule type="containsText" dxfId="65" priority="281" operator="containsText" text="Moderate">
      <formula>NOT(ISERROR(SEARCH("Moderate",Z20)))</formula>
    </cfRule>
    <cfRule type="containsText" dxfId="64" priority="282" operator="containsText" text="Very High">
      <formula>NOT(ISERROR(SEARCH("Very High",Z20)))</formula>
    </cfRule>
    <cfRule type="containsText" dxfId="63" priority="283" operator="containsText" text="High">
      <formula>NOT(ISERROR(SEARCH("High",Z20)))</formula>
    </cfRule>
    <cfRule type="containsText" dxfId="62" priority="284" operator="containsText" text="Very High">
      <formula>NOT(ISERROR(SEARCH("Very High",Z20)))</formula>
    </cfRule>
    <cfRule type="containsText" dxfId="61" priority="276" operator="containsText" text="Very High">
      <formula>NOT(ISERROR(SEARCH("Very High",Z20)))</formula>
    </cfRule>
    <cfRule type="colorScale" priority="286">
      <colorScale>
        <cfvo type="min"/>
        <cfvo type="percentile" val="50"/>
        <cfvo type="max"/>
        <color rgb="FF63BE7B"/>
        <color rgb="FFFFEB84"/>
        <color rgb="FFF8696B"/>
      </colorScale>
    </cfRule>
    <cfRule type="containsText" dxfId="60" priority="272" operator="containsText" text="Very Low">
      <formula>NOT(ISERROR(SEARCH("Very Low",Z20)))</formula>
    </cfRule>
    <cfRule type="containsText" dxfId="59" priority="273" operator="containsText" text="Low">
      <formula>NOT(ISERROR(SEARCH("Low",Z20)))</formula>
    </cfRule>
    <cfRule type="containsText" dxfId="58" priority="274" operator="containsText" text="Very High">
      <formula>NOT(ISERROR(SEARCH("Very High",Z20)))</formula>
    </cfRule>
    <cfRule type="containsText" dxfId="57" priority="275" operator="containsText" text="High">
      <formula>NOT(ISERROR(SEARCH("High",Z20)))</formula>
    </cfRule>
    <cfRule type="containsText" priority="265" operator="containsText" text="Very High">
      <formula>NOT(ISERROR(SEARCH("Very High",Z20)))</formula>
    </cfRule>
    <cfRule type="containsText" dxfId="56" priority="277" operator="containsText" text="Moderate">
      <formula>NOT(ISERROR(SEARCH("Moderate",Z20)))</formula>
    </cfRule>
    <cfRule type="containsText" dxfId="55" priority="278" operator="containsText" text="Very Low">
      <formula>NOT(ISERROR(SEARCH("Very Low",Z20)))</formula>
    </cfRule>
    <cfRule type="containsText" dxfId="54" priority="279" operator="containsText" text="Very Low">
      <formula>NOT(ISERROR(SEARCH("Very Low",Z20)))</formula>
    </cfRule>
    <cfRule type="containsText" dxfId="53" priority="280" operator="containsText" text="Low">
      <formula>NOT(ISERROR(SEARCH("Low",Z20)))</formula>
    </cfRule>
  </conditionalFormatting>
  <conditionalFormatting sqref="Z25:Z30">
    <cfRule type="containsText" dxfId="52" priority="252" operator="containsText" text="Very Low">
      <formula>NOT(ISERROR(SEARCH("Very Low",Z25)))</formula>
    </cfRule>
    <cfRule type="containsText" dxfId="51" priority="255" operator="containsText" text="High">
      <formula>NOT(ISERROR(SEARCH("High",Z25)))</formula>
    </cfRule>
    <cfRule type="containsText" dxfId="50" priority="256" operator="containsText" text="Very High">
      <formula>NOT(ISERROR(SEARCH("Very High",Z25)))</formula>
    </cfRule>
    <cfRule type="containsText" dxfId="49" priority="254" operator="containsText" text="Very High">
      <formula>NOT(ISERROR(SEARCH("Very High",Z25)))</formula>
    </cfRule>
    <cfRule type="containsText" dxfId="48" priority="253" operator="containsText" text="Low">
      <formula>NOT(ISERROR(SEARCH("Low",Z25)))</formula>
    </cfRule>
    <cfRule type="colorScale" priority="266">
      <colorScale>
        <cfvo type="min"/>
        <cfvo type="percentile" val="50"/>
        <cfvo type="max"/>
        <color rgb="FF63BE7B"/>
        <color rgb="FFFFEB84"/>
        <color rgb="FFF8696B"/>
      </colorScale>
    </cfRule>
    <cfRule type="containsText" dxfId="47" priority="257" operator="containsText" text="Moderate">
      <formula>NOT(ISERROR(SEARCH("Moderate",Z25)))</formula>
    </cfRule>
    <cfRule type="containsText" dxfId="46" priority="264" operator="containsText" text="Very High">
      <formula>NOT(ISERROR(SEARCH("Very High",Z25)))</formula>
    </cfRule>
    <cfRule type="containsText" dxfId="45" priority="263" operator="containsText" text="High">
      <formula>NOT(ISERROR(SEARCH("High",Z25)))</formula>
    </cfRule>
    <cfRule type="containsText" dxfId="44" priority="262" operator="containsText" text="Very High">
      <formula>NOT(ISERROR(SEARCH("Very High",Z25)))</formula>
    </cfRule>
    <cfRule type="containsText" dxfId="43" priority="261" operator="containsText" text="Moderate">
      <formula>NOT(ISERROR(SEARCH("Moderate",Z25)))</formula>
    </cfRule>
    <cfRule type="containsText" dxfId="42" priority="260" operator="containsText" text="Low">
      <formula>NOT(ISERROR(SEARCH("Low",Z25)))</formula>
    </cfRule>
    <cfRule type="containsText" dxfId="41" priority="259" operator="containsText" text="Very Low">
      <formula>NOT(ISERROR(SEARCH("Very Low",Z25)))</formula>
    </cfRule>
    <cfRule type="containsText" dxfId="40" priority="258" operator="containsText" text="Very Low">
      <formula>NOT(ISERROR(SEARCH("Very Low",Z25)))</formula>
    </cfRule>
  </conditionalFormatting>
  <conditionalFormatting sqref="AL6:AL7">
    <cfRule type="containsText" dxfId="39" priority="1924" operator="containsText" text="Moderate">
      <formula>NOT(ISERROR(SEARCH("Moderate",AL6)))</formula>
    </cfRule>
    <cfRule type="containsText" dxfId="38" priority="1934" operator="containsText" text="Very Low">
      <formula>NOT(ISERROR(SEARCH("Very Low",AL6)))</formula>
    </cfRule>
    <cfRule type="containsText" dxfId="37" priority="1935" operator="containsText" text="Very Low">
      <formula>NOT(ISERROR(SEARCH("Very Low",AL6)))</formula>
    </cfRule>
    <cfRule type="containsText" dxfId="36" priority="1936" operator="containsText" text="Low">
      <formula>NOT(ISERROR(SEARCH("Low",AL6)))</formula>
    </cfRule>
    <cfRule type="containsText" dxfId="35" priority="1938" operator="containsText" text="Very High">
      <formula>NOT(ISERROR(SEARCH("Very High",AL6)))</formula>
    </cfRule>
    <cfRule type="containsText" dxfId="34" priority="1939" operator="containsText" text="High">
      <formula>NOT(ISERROR(SEARCH("High",AL6)))</formula>
    </cfRule>
    <cfRule type="containsText" dxfId="33" priority="1937" operator="containsText" text="Moderate">
      <formula>NOT(ISERROR(SEARCH("Moderate",AL6)))</formula>
    </cfRule>
  </conditionalFormatting>
  <conditionalFormatting sqref="AN6:AN7">
    <cfRule type="containsText" dxfId="32" priority="1930" operator="containsText" text="Low">
      <formula>NOT(ISERROR(SEARCH("Low",AN6)))</formula>
    </cfRule>
    <cfRule type="containsText" dxfId="31" priority="1931" operator="containsText" text="Moderate">
      <formula>NOT(ISERROR(SEARCH("Moderate",AN6)))</formula>
    </cfRule>
    <cfRule type="containsText" dxfId="30" priority="1932" operator="containsText" text="Very High">
      <formula>NOT(ISERROR(SEARCH("Very High",AN6)))</formula>
    </cfRule>
    <cfRule type="containsText" dxfId="29" priority="1933" operator="containsText" text="High">
      <formula>NOT(ISERROR(SEARCH("High",AN6)))</formula>
    </cfRule>
  </conditionalFormatting>
  <conditionalFormatting sqref="AN7:AO7 AN6">
    <cfRule type="containsText" dxfId="28" priority="1920" operator="containsText" text="Moderate">
      <formula>NOT(ISERROR(SEARCH("Moderate",AN6)))</formula>
    </cfRule>
    <cfRule type="containsText" dxfId="27" priority="1922" operator="containsText" text="Very Low">
      <formula>NOT(ISERROR(SEARCH("Very Low",AN6)))</formula>
    </cfRule>
  </conditionalFormatting>
  <conditionalFormatting sqref="AO7">
    <cfRule type="containsText" dxfId="26" priority="1921" operator="containsText" text="Low">
      <formula>NOT(ISERROR(SEARCH("Low",AO7)))</formula>
    </cfRule>
    <cfRule type="containsText" dxfId="25" priority="1919" operator="containsText" text="High">
      <formula>NOT(ISERROR(SEARCH("High",AO7)))</formula>
    </cfRule>
    <cfRule type="containsText" dxfId="24" priority="1918" operator="containsText" text="Very High">
      <formula>NOT(ISERROR(SEARCH("Very High",AO7)))</formula>
    </cfRule>
  </conditionalFormatting>
  <conditionalFormatting sqref="AP6:AQ6 AS6 AO7:AT7">
    <cfRule type="containsText" dxfId="23" priority="1916" operator="containsText" text="Very Low">
      <formula>NOT(ISERROR(SEARCH("Very Low",AO6)))</formula>
    </cfRule>
  </conditionalFormatting>
  <conditionalFormatting sqref="AP6:AQ6 AS6 AP7:AT7">
    <cfRule type="containsText" dxfId="22" priority="1915" operator="containsText" text="Low">
      <formula>NOT(ISERROR(SEARCH("Low",AP6)))</formula>
    </cfRule>
    <cfRule type="containsText" dxfId="21" priority="1914" operator="containsText" text="Moderate">
      <formula>NOT(ISERROR(SEARCH("Moderate",AP6)))</formula>
    </cfRule>
    <cfRule type="containsText" dxfId="20" priority="1911" operator="containsText" text="Very Low">
      <formula>NOT(ISERROR(SEARCH("Very Low",AP6)))</formula>
    </cfRule>
    <cfRule type="containsText" dxfId="19" priority="1913" operator="containsText" text="High">
      <formula>NOT(ISERROR(SEARCH("High",AP6)))</formula>
    </cfRule>
    <cfRule type="containsText" dxfId="18" priority="1912" operator="containsText" text="Very High">
      <formula>NOT(ISERROR(SEARCH("Very High",AP6)))</formula>
    </cfRule>
  </conditionalFormatting>
  <conditionalFormatting sqref="AR6 AT6 O22:O31">
    <cfRule type="cellIs" dxfId="17" priority="1830" operator="equal">
      <formula>"Low"</formula>
    </cfRule>
    <cfRule type="cellIs" dxfId="16" priority="1829" operator="equal">
      <formula>"Moderate"</formula>
    </cfRule>
    <cfRule type="cellIs" dxfId="15" priority="1828" operator="equal">
      <formula>"Very High"</formula>
    </cfRule>
    <cfRule type="cellIs" dxfId="14" priority="1827" operator="equal">
      <formula>"High"</formula>
    </cfRule>
    <cfRule type="cellIs" dxfId="13" priority="1826" operator="equal">
      <formula>"Very Low"</formula>
    </cfRule>
  </conditionalFormatting>
  <conditionalFormatting sqref="AU7:AU8">
    <cfRule type="colorScale" priority="146">
      <colorScale>
        <cfvo type="min"/>
        <cfvo type="percentile" val="50"/>
        <cfvo type="max"/>
        <color rgb="FF63BE7B"/>
        <color rgb="FFFFEB84"/>
        <color rgb="FFF8696B"/>
      </colorScale>
    </cfRule>
  </conditionalFormatting>
  <conditionalFormatting sqref="AU7:AV8">
    <cfRule type="containsText" dxfId="12" priority="117" operator="containsText" text="Very Low">
      <formula>NOT(ISERROR(SEARCH("Very Low",AU7)))</formula>
    </cfRule>
    <cfRule type="containsText" dxfId="11" priority="119" operator="containsText" text="Very High">
      <formula>NOT(ISERROR(SEARCH("Very High",AU7)))</formula>
    </cfRule>
    <cfRule type="containsText" dxfId="10" priority="118" operator="containsText" text="Low">
      <formula>NOT(ISERROR(SEARCH("Low",AU7)))</formula>
    </cfRule>
    <cfRule type="containsText" dxfId="9" priority="127" operator="containsText" text="Very High">
      <formula>NOT(ISERROR(SEARCH("Very High",AU7)))</formula>
    </cfRule>
    <cfRule type="containsText" priority="130" operator="containsText" text="Very High">
      <formula>NOT(ISERROR(SEARCH("Very High",AU7)))</formula>
    </cfRule>
    <cfRule type="containsText" dxfId="8" priority="129" operator="containsText" text="Very High">
      <formula>NOT(ISERROR(SEARCH("Very High",AU7)))</formula>
    </cfRule>
    <cfRule type="containsText" dxfId="7" priority="128" operator="containsText" text="High">
      <formula>NOT(ISERROR(SEARCH("High",AU7)))</formula>
    </cfRule>
    <cfRule type="containsText" dxfId="6" priority="126" operator="containsText" text="Moderate">
      <formula>NOT(ISERROR(SEARCH("Moderate",AU7)))</formula>
    </cfRule>
    <cfRule type="containsText" dxfId="5" priority="125" operator="containsText" text="Low">
      <formula>NOT(ISERROR(SEARCH("Low",AU7)))</formula>
    </cfRule>
    <cfRule type="containsText" dxfId="4" priority="123" operator="containsText" text="Very Low">
      <formula>NOT(ISERROR(SEARCH("Very Low",AU7)))</formula>
    </cfRule>
    <cfRule type="containsText" dxfId="3" priority="124" operator="containsText" text="Very Low">
      <formula>NOT(ISERROR(SEARCH("Very Low",AU7)))</formula>
    </cfRule>
    <cfRule type="containsText" dxfId="2" priority="122" operator="containsText" text="Moderate">
      <formula>NOT(ISERROR(SEARCH("Moderate",AU7)))</formula>
    </cfRule>
    <cfRule type="containsText" dxfId="1" priority="121" operator="containsText" text="Very High">
      <formula>NOT(ISERROR(SEARCH("Very High",AU7)))</formula>
    </cfRule>
    <cfRule type="containsText" dxfId="0" priority="120" operator="containsText" text="High">
      <formula>NOT(ISERROR(SEARCH("High",AU7)))</formula>
    </cfRule>
  </conditionalFormatting>
  <conditionalFormatting sqref="AV7:AV8">
    <cfRule type="colorScale" priority="3049">
      <colorScale>
        <cfvo type="min"/>
        <cfvo type="percentile" val="50"/>
        <cfvo type="max"/>
        <color rgb="FF63BE7B"/>
        <color rgb="FFFFEB84"/>
        <color rgb="FFF8696B"/>
      </colorScale>
    </cfRule>
  </conditionalFormatting>
  <dataValidations count="1">
    <dataValidation allowBlank="1" showInputMessage="1" showErrorMessage="1" sqref="D5:D13" xr:uid="{B7C780E3-A3B8-4BFA-B130-3160FAA6ECA8}"/>
  </dataValidations>
  <hyperlinks>
    <hyperlink ref="A4" location="'Threat Events Catalog'!A1" display="Threat Events" xr:uid="{1BE4F543-1C0B-4669-867E-4BC6E5CB71D5}"/>
    <hyperlink ref="B4" location="'Threat Source Catalog'!A1" display="Threat Source" xr:uid="{D4EC323D-8C9A-4EF9-8BB4-1C79F037BC13}"/>
    <hyperlink ref="C4" location="'Vulnerabilities Catalog'!A1" display="Vulnerability ID" xr:uid="{32ED6ACC-AC23-4A3B-B1C0-D00E18E1B8F1}"/>
    <hyperlink ref="D4" location="'Security Controls Catalog'!A1" display="Security Controls" xr:uid="{44E97D13-DC90-45E2-AAE5-A1748AD23ECC}"/>
    <hyperlink ref="E4" location="'D3456'!A20" display="Capabilites" xr:uid="{B1ECF1F1-8D08-4ADF-8F1F-539D04B2BFB6}"/>
    <hyperlink ref="F4" location="'D3456'!A29" display="Intent" xr:uid="{09CA04B4-B7D9-4A6A-BBA7-EEC8BA028251}"/>
    <hyperlink ref="G4" location="'D3456'!A1" display="Targeting" xr:uid="{20FCC214-412A-4A03-9DA2-FDA18C153278}"/>
    <hyperlink ref="H4" location="'Threat Events Catalog'!A232" display="Relevancy" xr:uid="{C8DCB4A2-B7CA-412E-A5B1-67ACA41C86AC}"/>
    <hyperlink ref="I4" location="'G234'!A1" display="Likelihood of Events Occuring" xr:uid="{6DF7FA6A-D5EF-49FD-BA7C-61C2038F7C95}"/>
    <hyperlink ref="J4" location="'F256'!A1" display="Vulnerabilites and Predisposing Conditions" xr:uid="{C8E90AFD-7BC4-4BB9-AE5A-F6A5DAE44256}"/>
    <hyperlink ref="K4" location="'F256'!A36" display="Severity" xr:uid="{BC3FAED0-70EF-4992-A6A7-8AFCCB89E8C5}"/>
    <hyperlink ref="L4" location="TVRA!A22" display="Likelihood of Success" xr:uid="{69A4788D-F91C-437D-AE9E-EF4A94E398D5}"/>
    <hyperlink ref="N4" location="'H34'!A1" display="Level of Impact" xr:uid="{CE454D17-F681-436B-AC4A-B6C3AECD5AB4}"/>
    <hyperlink ref="AF4" location="'Threat Events Catalog'!A208" display="Threat Events" xr:uid="{205D4732-6657-48BA-82F0-2CE19D738070}"/>
    <hyperlink ref="AG4" location="'Threat Source Catalog'!A1" display="Threat Source" xr:uid="{AF8A71AB-5ECB-49BA-9028-8B66C6D548F2}"/>
    <hyperlink ref="AH4" location="'Vulnerabilities Catalog'!A1" display="Vulnerabilitiy ID" xr:uid="{C858D116-1716-4F0D-BB5D-AD91EE7A0D21}"/>
    <hyperlink ref="AI4" location="'Security Controls Catalog'!A1" display="Security Controls" xr:uid="{C280BD47-4F31-4639-BC62-F4C61BA8CC59}"/>
    <hyperlink ref="AJ4" location="'D3456'!A11" display="Range of Effects" xr:uid="{1187BD1F-5995-4683-8A2D-A28D57EBE092}"/>
    <hyperlink ref="AK4" location="'Threat Events Catalog'!A232" display="Relevancy" xr:uid="{050EE713-5DF1-45B4-9169-BE14A9BAA599}"/>
    <hyperlink ref="AL4" location="'G234'!A14" display="Likelihood of Events Occuring" xr:uid="{3C0F463F-4487-4624-A93F-E74E10898FD0}"/>
    <hyperlink ref="AM4" location="'F256'!A1" display="Vulnerabilites and Predisposing Conditions" xr:uid="{023C8AB7-267D-42AE-BDB2-5086803A5767}"/>
    <hyperlink ref="AN4" location="'F256'!A36" display="Severity" xr:uid="{ECD4821E-6A02-443E-ACB5-E42F4CBBB5BE}"/>
    <hyperlink ref="AO4" location="'G234'!A22" display="Likelihood of Impact" xr:uid="{8333E8E6-BBDD-4C5E-A193-3924B599F1AE}"/>
    <hyperlink ref="AQ4" location="'H34'!A1" display="Level of Impact" xr:uid="{5F5F8024-8B31-414C-9587-2837F81DA2B6}"/>
    <hyperlink ref="P4" location="'Control Effectiveness Assessmen'!A1" display="Control Effectiveness" xr:uid="{90161121-7240-4547-A94F-BFF9B0DD6674}"/>
  </hyperlinks>
  <pageMargins left="0.7" right="0.7" top="0.75" bottom="0.75" header="0.3" footer="0.3"/>
  <drawing r:id="rId1"/>
  <tableParts count="3">
    <tablePart r:id="rId2"/>
    <tablePart r:id="rId3"/>
    <tablePart r:id="rId4"/>
  </tableParts>
  <extLst>
    <ext xmlns:x14="http://schemas.microsoft.com/office/spreadsheetml/2009/9/main" uri="{CCE6A557-97BC-4b89-ADB6-D9C93CAAB3DF}">
      <x14:dataValidations xmlns:xm="http://schemas.microsoft.com/office/excel/2006/main" count="18">
        <x14:dataValidation type="list" allowBlank="1" showInputMessage="1" showErrorMessage="1" xr:uid="{1A3C036B-A0DB-4505-9D22-945E919EEFA9}">
          <x14:formula1>
            <xm:f>'Threat Events Catalog'!$A$239:$A$244</xm:f>
          </x14:formula1>
          <xm:sqref>AK5 H5:H18</xm:sqref>
        </x14:dataValidation>
        <x14:dataValidation type="list" allowBlank="1" showInputMessage="1" showErrorMessage="1" xr:uid="{79A1D048-EF79-498E-AFB9-844A5E1BEDD6}">
          <x14:formula1>
            <xm:f>'H34'!$A$3:$A$7</xm:f>
          </x14:formula1>
          <xm:sqref>N7:N13 AQ5</xm:sqref>
        </x14:dataValidation>
        <x14:dataValidation type="list" allowBlank="1" showInputMessage="1" showErrorMessage="1" xr:uid="{D3D7CB4B-6BDB-4D1C-8676-EB8B13A7CBB2}">
          <x14:formula1>
            <xm:f>'G234'!$A$14:$A$18</xm:f>
          </x14:formula1>
          <xm:sqref>AL5 I7:I18</xm:sqref>
        </x14:dataValidation>
        <x14:dataValidation type="list" allowBlank="1" showInputMessage="1" showErrorMessage="1" xr:uid="{1A3326D7-D692-432A-B254-0B9196D484E1}">
          <x14:formula1>
            <xm:f>'F256'!$A$3:$A$7</xm:f>
          </x14:formula1>
          <xm:sqref>N14:N18 AM5:AN5 J7:J18</xm:sqref>
        </x14:dataValidation>
        <x14:dataValidation type="list" allowBlank="1" showInputMessage="1" showErrorMessage="1" xr:uid="{99E6DECC-925F-4293-89BB-35F37A8570A2}">
          <x14:formula1>
            <xm:f>'D3456'!$A$14:$A$18</xm:f>
          </x14:formula1>
          <xm:sqref>AJ5</xm:sqref>
        </x14:dataValidation>
        <x14:dataValidation type="list" allowBlank="1" showInputMessage="1" showErrorMessage="1" xr:uid="{1BD9E831-FD10-4A9F-A1AC-FB2A7A19B537}">
          <x14:formula1>
            <xm:f>'G234'!$A$24:$A$28</xm:f>
          </x14:formula1>
          <xm:sqref>L7:L18 AO5:AO6</xm:sqref>
        </x14:dataValidation>
        <x14:dataValidation type="list" allowBlank="1" showInputMessage="1" showErrorMessage="1" xr:uid="{E5F8E43F-7462-47E0-8138-84BA6857DF59}">
          <x14:formula1>
            <xm:f>'Control Effectiveness Assessmen'!$A$4:$A$8</xm:f>
          </x14:formula1>
          <xm:sqref>P5:P13 AS5:AS6</xm:sqref>
        </x14:dataValidation>
        <x14:dataValidation type="list" allowBlank="1" showInputMessage="1" showErrorMessage="1" xr:uid="{8E31D03A-DF0D-4226-A5C8-04FFB469FD0B}">
          <x14:formula1>
            <xm:f>'D3456'!$A$23:$A$27</xm:f>
          </x14:formula1>
          <xm:sqref>F5:G6 E5:E18 I5:L6 N5:N6</xm:sqref>
        </x14:dataValidation>
        <x14:dataValidation type="list" allowBlank="1" showInputMessage="1" showErrorMessage="1" xr:uid="{2860EBC5-2F69-4B7D-8F72-4F7A41E16C06}">
          <x14:formula1>
            <xm:f>'Vulnerabilities Catalog'!$A$2:$A$984</xm:f>
          </x14:formula1>
          <xm:sqref>AI7 AH5:AH7</xm:sqref>
        </x14:dataValidation>
        <x14:dataValidation type="list" allowBlank="1" showInputMessage="1" showErrorMessage="1" xr:uid="{554C99B8-6BAC-40A8-A229-42DA4EC901EE}">
          <x14:formula1>
            <xm:f>'Threat Source Catalog'!$A$3:$A$223</xm:f>
          </x14:formula1>
          <xm:sqref>B14:B18</xm:sqref>
        </x14:dataValidation>
        <x14:dataValidation type="list" allowBlank="1" showInputMessage="1" showErrorMessage="1" xr:uid="{87C00070-1862-40C1-A133-EEF17BE0633C}">
          <x14:formula1>
            <xm:f>'D78'!$F$20:$F$59</xm:f>
          </x14:formula1>
          <xm:sqref>B5:B13</xm:sqref>
        </x14:dataValidation>
        <x14:dataValidation type="list" allowBlank="1" showInputMessage="1" showErrorMessage="1" xr:uid="{4113DFFB-A3C7-4A21-AA88-4CFF011747BA}">
          <x14:formula1>
            <xm:f>'D3456'!$A$4:$A$8</xm:f>
          </x14:formula1>
          <xm:sqref>G7:G18</xm:sqref>
        </x14:dataValidation>
        <x14:dataValidation type="list" allowBlank="1" showInputMessage="1" showErrorMessage="1" xr:uid="{3D5736A7-4AE2-4E3D-9338-B6548BEB3F22}">
          <x14:formula1>
            <xm:f>'D3456'!$A$32:$A$36</xm:f>
          </x14:formula1>
          <xm:sqref>F7:F18</xm:sqref>
        </x14:dataValidation>
        <x14:dataValidation type="list" allowBlank="1" showInputMessage="1" showErrorMessage="1" xr:uid="{9A5BDB49-0107-46D9-A58A-C763AA2C4FF3}">
          <x14:formula1>
            <xm:f>'F256'!$A$39:$A$45</xm:f>
          </x14:formula1>
          <xm:sqref>K7:K18</xm:sqref>
        </x14:dataValidation>
        <x14:dataValidation type="list" allowBlank="1" showInputMessage="1" showErrorMessage="1" xr:uid="{B2E41FC1-484D-44EC-924A-CEBB7D16A412}">
          <x14:formula1>
            <xm:f>'Threat Events Catalog'!$A$117:$A$209</xm:f>
          </x14:formula1>
          <xm:sqref>A5:A18</xm:sqref>
        </x14:dataValidation>
        <x14:dataValidation type="list" allowBlank="1" showInputMessage="1" showErrorMessage="1" xr:uid="{DA7DCF14-C961-41DA-96FC-243FB80BC0F7}">
          <x14:formula1>
            <xm:f>'Vulnerabilities Catalog'!$A:$A</xm:f>
          </x14:formula1>
          <xm:sqref>C5:C13</xm:sqref>
        </x14:dataValidation>
        <x14:dataValidation type="list" allowBlank="1" showInputMessage="1" showErrorMessage="1" xr:uid="{62CEAA7B-FB48-4FA4-BBCA-1B9AB3B2FD51}">
          <x14:formula1>
            <xm:f>'Threat Events Catalog'!$A$213:$A$231</xm:f>
          </x14:formula1>
          <xm:sqref>AF5</xm:sqref>
        </x14:dataValidation>
        <x14:dataValidation type="list" allowBlank="1" showInputMessage="1" showErrorMessage="1" xr:uid="{93E7E38A-6F34-4A09-B138-574FDA7D9E27}">
          <x14:formula1>
            <xm:f>'D78'!$B$21:$B$48</xm:f>
          </x14:formula1>
          <xm:sqref>AO6 AG5:AG6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6755-F8F0-4847-8529-7C8FC9026C8D}">
  <dimension ref="A1:AH14"/>
  <sheetViews>
    <sheetView zoomScale="79" workbookViewId="0">
      <selection activeCell="D7" sqref="D7"/>
    </sheetView>
  </sheetViews>
  <sheetFormatPr defaultRowHeight="15" x14ac:dyDescent="0.25"/>
  <cols>
    <col min="1" max="1" width="10.28515625" customWidth="1"/>
    <col min="2" max="2" width="39.5703125" customWidth="1"/>
    <col min="3" max="3" width="21.28515625" customWidth="1"/>
    <col min="4" max="4" width="74.28515625" customWidth="1"/>
    <col min="5" max="5" width="36.7109375" customWidth="1"/>
    <col min="6" max="6" width="25.85546875" customWidth="1"/>
    <col min="7" max="7" width="31.28515625" customWidth="1"/>
    <col min="8" max="8" width="34.140625" customWidth="1"/>
    <col min="9" max="9" width="25.42578125" customWidth="1"/>
    <col min="10" max="10" width="30.5703125" customWidth="1"/>
  </cols>
  <sheetData>
    <row r="1" spans="1:34" ht="18" x14ac:dyDescent="0.25">
      <c r="A1" s="21" t="s">
        <v>39</v>
      </c>
      <c r="B1" s="81" t="s">
        <v>40</v>
      </c>
      <c r="C1" s="21" t="s">
        <v>41</v>
      </c>
      <c r="D1" s="21" t="s">
        <v>42</v>
      </c>
      <c r="E1" s="21" t="s">
        <v>43</v>
      </c>
      <c r="F1" s="21" t="s">
        <v>44</v>
      </c>
      <c r="G1" s="21" t="s">
        <v>951</v>
      </c>
      <c r="H1" s="21" t="s">
        <v>952</v>
      </c>
      <c r="I1" s="21" t="s">
        <v>953</v>
      </c>
      <c r="J1" s="21" t="s">
        <v>954</v>
      </c>
    </row>
    <row r="2" spans="1:34" ht="30" x14ac:dyDescent="0.25">
      <c r="A2" s="82" t="s">
        <v>999</v>
      </c>
      <c r="B2" s="72" t="s">
        <v>1000</v>
      </c>
      <c r="C2" s="72" t="s">
        <v>434</v>
      </c>
      <c r="D2" s="72" t="s">
        <v>1033</v>
      </c>
      <c r="E2" s="72" t="s">
        <v>45</v>
      </c>
      <c r="F2" s="72" t="s">
        <v>21</v>
      </c>
      <c r="G2" s="84">
        <v>45915</v>
      </c>
      <c r="H2" s="72" t="s">
        <v>1001</v>
      </c>
      <c r="I2" s="72" t="s">
        <v>1002</v>
      </c>
      <c r="J2" s="72" t="s">
        <v>962</v>
      </c>
      <c r="K2" s="23"/>
      <c r="L2" s="23"/>
      <c r="M2" s="23"/>
      <c r="N2" s="23"/>
      <c r="O2" s="23"/>
      <c r="P2" s="23"/>
      <c r="Q2" s="23"/>
      <c r="R2" s="23"/>
      <c r="S2" s="23"/>
      <c r="T2" s="23"/>
      <c r="U2" s="23"/>
      <c r="V2" s="23"/>
      <c r="W2" s="23"/>
      <c r="X2" s="23"/>
      <c r="Y2" s="23"/>
      <c r="Z2" s="23"/>
      <c r="AA2" s="23"/>
      <c r="AB2" s="23"/>
      <c r="AC2" s="23"/>
      <c r="AD2" s="23"/>
      <c r="AE2" s="23"/>
      <c r="AF2" s="23"/>
      <c r="AG2" s="23"/>
      <c r="AH2" s="23"/>
    </row>
    <row r="3" spans="1:34" ht="30" x14ac:dyDescent="0.25">
      <c r="A3" s="82" t="s">
        <v>989</v>
      </c>
      <c r="B3" s="72" t="s">
        <v>1003</v>
      </c>
      <c r="C3" s="72" t="s">
        <v>434</v>
      </c>
      <c r="D3" s="72" t="s">
        <v>1004</v>
      </c>
      <c r="E3" s="72" t="s">
        <v>45</v>
      </c>
      <c r="F3" s="72" t="s">
        <v>21</v>
      </c>
      <c r="G3" s="84">
        <v>45915</v>
      </c>
      <c r="H3" s="72" t="s">
        <v>1005</v>
      </c>
      <c r="I3" s="72" t="s">
        <v>1002</v>
      </c>
      <c r="J3" s="72" t="s">
        <v>962</v>
      </c>
      <c r="K3" s="23"/>
      <c r="L3" s="23"/>
      <c r="M3" s="23"/>
      <c r="N3" s="23"/>
      <c r="O3" s="23"/>
      <c r="P3" s="23"/>
      <c r="Q3" s="23"/>
      <c r="R3" s="23"/>
      <c r="S3" s="23"/>
      <c r="T3" s="23"/>
      <c r="U3" s="23"/>
      <c r="V3" s="23"/>
      <c r="W3" s="23"/>
      <c r="X3" s="23"/>
      <c r="Y3" s="23"/>
      <c r="Z3" s="23"/>
      <c r="AA3" s="23"/>
      <c r="AB3" s="23"/>
      <c r="AC3" s="23"/>
      <c r="AD3" s="23"/>
      <c r="AE3" s="23"/>
      <c r="AF3" s="23"/>
      <c r="AG3" s="23"/>
      <c r="AH3" s="23"/>
    </row>
    <row r="4" spans="1:34" ht="30" x14ac:dyDescent="0.25">
      <c r="A4" s="82" t="s">
        <v>981</v>
      </c>
      <c r="B4" s="72" t="s">
        <v>1006</v>
      </c>
      <c r="C4" s="72" t="s">
        <v>434</v>
      </c>
      <c r="D4" s="72" t="s">
        <v>1007</v>
      </c>
      <c r="E4" s="72" t="s">
        <v>45</v>
      </c>
      <c r="F4" s="72" t="s">
        <v>21</v>
      </c>
      <c r="G4" s="84">
        <v>45915</v>
      </c>
      <c r="H4" s="72" t="s">
        <v>1008</v>
      </c>
      <c r="I4" s="72" t="s">
        <v>1002</v>
      </c>
      <c r="J4" s="72" t="s">
        <v>962</v>
      </c>
      <c r="K4" s="23"/>
      <c r="L4" s="23"/>
      <c r="M4" s="23"/>
      <c r="N4" s="23"/>
      <c r="O4" s="23"/>
      <c r="P4" s="23"/>
      <c r="Q4" s="23"/>
      <c r="R4" s="23"/>
      <c r="S4" s="23"/>
      <c r="T4" s="23"/>
      <c r="U4" s="23"/>
      <c r="V4" s="23"/>
      <c r="W4" s="23"/>
      <c r="X4" s="23"/>
      <c r="Y4" s="23"/>
      <c r="Z4" s="23"/>
      <c r="AA4" s="23"/>
      <c r="AB4" s="23"/>
      <c r="AC4" s="23"/>
      <c r="AD4" s="23"/>
      <c r="AE4" s="23"/>
      <c r="AF4" s="23"/>
      <c r="AG4" s="23"/>
      <c r="AH4" s="23"/>
    </row>
    <row r="5" spans="1:34" ht="30" x14ac:dyDescent="0.25">
      <c r="A5" s="82" t="s">
        <v>977</v>
      </c>
      <c r="B5" s="72" t="s">
        <v>1009</v>
      </c>
      <c r="C5" s="72" t="s">
        <v>434</v>
      </c>
      <c r="D5" s="72" t="s">
        <v>1028</v>
      </c>
      <c r="E5" s="72" t="s">
        <v>45</v>
      </c>
      <c r="F5" s="72" t="s">
        <v>21</v>
      </c>
      <c r="G5" s="84">
        <v>45915</v>
      </c>
      <c r="H5" s="72" t="s">
        <v>1010</v>
      </c>
      <c r="I5" s="72" t="s">
        <v>1011</v>
      </c>
      <c r="J5" s="72" t="s">
        <v>962</v>
      </c>
      <c r="K5" s="23"/>
      <c r="L5" s="23"/>
      <c r="M5" s="23"/>
      <c r="N5" s="23"/>
      <c r="O5" s="23"/>
      <c r="P5" s="23"/>
      <c r="Q5" s="23"/>
      <c r="R5" s="23"/>
      <c r="S5" s="23"/>
      <c r="T5" s="23"/>
      <c r="U5" s="23"/>
      <c r="V5" s="23"/>
      <c r="W5" s="23"/>
      <c r="X5" s="23"/>
      <c r="Y5" s="23"/>
      <c r="Z5" s="23"/>
      <c r="AA5" s="23"/>
      <c r="AB5" s="23"/>
      <c r="AC5" s="23"/>
      <c r="AD5" s="23"/>
      <c r="AE5" s="23"/>
      <c r="AF5" s="23"/>
      <c r="AG5" s="23"/>
      <c r="AH5" s="23"/>
    </row>
    <row r="6" spans="1:34" ht="45" x14ac:dyDescent="0.25">
      <c r="A6" s="82" t="s">
        <v>983</v>
      </c>
      <c r="B6" s="72" t="s">
        <v>1029</v>
      </c>
      <c r="C6" s="72" t="s">
        <v>434</v>
      </c>
      <c r="D6" s="72" t="s">
        <v>1030</v>
      </c>
      <c r="E6" s="72" t="s">
        <v>1051</v>
      </c>
      <c r="F6" s="72" t="s">
        <v>1052</v>
      </c>
      <c r="G6" s="84">
        <v>45915</v>
      </c>
      <c r="H6" s="72" t="s">
        <v>1012</v>
      </c>
      <c r="I6" s="72" t="s">
        <v>1013</v>
      </c>
      <c r="J6" s="72" t="s">
        <v>962</v>
      </c>
      <c r="K6" s="23"/>
      <c r="L6" s="23"/>
      <c r="M6" s="23"/>
      <c r="N6" s="23"/>
      <c r="O6" s="23"/>
      <c r="P6" s="23"/>
      <c r="Q6" s="23"/>
      <c r="R6" s="23"/>
      <c r="S6" s="23"/>
      <c r="T6" s="23"/>
      <c r="U6" s="23"/>
      <c r="V6" s="23"/>
      <c r="W6" s="23"/>
      <c r="X6" s="23"/>
      <c r="Y6" s="23"/>
      <c r="Z6" s="23"/>
      <c r="AA6" s="23"/>
      <c r="AB6" s="23"/>
      <c r="AC6" s="23"/>
      <c r="AD6" s="23"/>
      <c r="AE6" s="23"/>
      <c r="AF6" s="23"/>
      <c r="AG6" s="23"/>
      <c r="AH6" s="23"/>
    </row>
    <row r="7" spans="1:34" ht="30" x14ac:dyDescent="0.25">
      <c r="A7" s="82" t="s">
        <v>990</v>
      </c>
      <c r="B7" s="72" t="s">
        <v>1031</v>
      </c>
      <c r="C7" s="72" t="s">
        <v>434</v>
      </c>
      <c r="D7" s="72" t="s">
        <v>1032</v>
      </c>
      <c r="E7" s="72" t="s">
        <v>45</v>
      </c>
      <c r="F7" s="72" t="s">
        <v>21</v>
      </c>
      <c r="G7" s="84">
        <v>45915</v>
      </c>
      <c r="H7" s="72" t="s">
        <v>1053</v>
      </c>
      <c r="I7" s="72" t="s">
        <v>1054</v>
      </c>
      <c r="J7" s="72" t="s">
        <v>962</v>
      </c>
      <c r="K7" s="23"/>
      <c r="L7" s="23"/>
      <c r="M7" s="23"/>
      <c r="N7" s="23"/>
      <c r="O7" s="23"/>
      <c r="P7" s="23"/>
      <c r="Q7" s="23"/>
      <c r="R7" s="23"/>
      <c r="S7" s="23"/>
      <c r="T7" s="23"/>
      <c r="U7" s="23"/>
      <c r="V7" s="23"/>
      <c r="W7" s="23"/>
      <c r="X7" s="23"/>
      <c r="Y7" s="23"/>
      <c r="Z7" s="23"/>
      <c r="AA7" s="23"/>
      <c r="AB7" s="23"/>
      <c r="AC7" s="23"/>
      <c r="AD7" s="23"/>
      <c r="AE7" s="23"/>
      <c r="AF7" s="23"/>
      <c r="AG7" s="23"/>
      <c r="AH7" s="23"/>
    </row>
    <row r="8" spans="1:34" ht="30" x14ac:dyDescent="0.25">
      <c r="A8" s="82" t="s">
        <v>979</v>
      </c>
      <c r="B8" s="72" t="s">
        <v>1020</v>
      </c>
      <c r="C8" s="72" t="s">
        <v>434</v>
      </c>
      <c r="D8" s="72" t="s">
        <v>1021</v>
      </c>
      <c r="E8" s="72" t="s">
        <v>45</v>
      </c>
      <c r="F8" s="72" t="s">
        <v>21</v>
      </c>
      <c r="G8" s="84">
        <v>45915</v>
      </c>
      <c r="H8" s="72" t="s">
        <v>1055</v>
      </c>
      <c r="I8" s="72" t="s">
        <v>1011</v>
      </c>
      <c r="J8" s="72" t="s">
        <v>962</v>
      </c>
      <c r="K8" s="23"/>
      <c r="L8" s="23"/>
      <c r="M8" s="23"/>
      <c r="N8" s="23"/>
      <c r="O8" s="23"/>
      <c r="P8" s="23"/>
      <c r="Q8" s="23"/>
      <c r="R8" s="23"/>
      <c r="S8" s="23"/>
      <c r="T8" s="23"/>
      <c r="U8" s="23"/>
      <c r="V8" s="23"/>
      <c r="W8" s="23"/>
      <c r="X8" s="23"/>
      <c r="Y8" s="23"/>
      <c r="Z8" s="23"/>
      <c r="AA8" s="23"/>
      <c r="AB8" s="23"/>
      <c r="AC8" s="23"/>
      <c r="AD8" s="23"/>
      <c r="AE8" s="23"/>
      <c r="AF8" s="23"/>
      <c r="AG8" s="23"/>
      <c r="AH8" s="23"/>
    </row>
    <row r="9" spans="1:34" ht="30" x14ac:dyDescent="0.25">
      <c r="A9" s="82" t="s">
        <v>985</v>
      </c>
      <c r="B9" s="72" t="s">
        <v>1022</v>
      </c>
      <c r="C9" s="72" t="s">
        <v>434</v>
      </c>
      <c r="D9" s="72" t="s">
        <v>1023</v>
      </c>
      <c r="E9" s="72" t="s">
        <v>45</v>
      </c>
      <c r="F9" s="72" t="s">
        <v>21</v>
      </c>
      <c r="G9" s="84">
        <v>45915</v>
      </c>
      <c r="H9" s="72" t="s">
        <v>1024</v>
      </c>
      <c r="I9" s="72" t="s">
        <v>1014</v>
      </c>
      <c r="J9" s="72" t="s">
        <v>962</v>
      </c>
      <c r="K9" s="23"/>
      <c r="L9" s="23"/>
      <c r="M9" s="23"/>
      <c r="N9" s="23"/>
      <c r="O9" s="23"/>
      <c r="P9" s="23"/>
      <c r="Q9" s="23"/>
      <c r="R9" s="23"/>
      <c r="S9" s="23"/>
      <c r="T9" s="23"/>
      <c r="U9" s="23"/>
      <c r="V9" s="23"/>
      <c r="W9" s="23"/>
      <c r="X9" s="23"/>
      <c r="Y9" s="23"/>
      <c r="Z9" s="23"/>
      <c r="AA9" s="23"/>
      <c r="AB9" s="23"/>
      <c r="AC9" s="23"/>
      <c r="AD9" s="23"/>
      <c r="AE9" s="23"/>
      <c r="AF9" s="23"/>
      <c r="AG9" s="23"/>
      <c r="AH9" s="23"/>
    </row>
    <row r="10" spans="1:34" ht="45" x14ac:dyDescent="0.25">
      <c r="A10" s="82" t="s">
        <v>986</v>
      </c>
      <c r="B10" s="72" t="s">
        <v>1015</v>
      </c>
      <c r="C10" s="72" t="s">
        <v>434</v>
      </c>
      <c r="D10" s="72" t="s">
        <v>1025</v>
      </c>
      <c r="E10" s="72" t="s">
        <v>45</v>
      </c>
      <c r="F10" s="72" t="s">
        <v>21</v>
      </c>
      <c r="G10" s="84">
        <v>45915</v>
      </c>
      <c r="H10" s="72" t="s">
        <v>1016</v>
      </c>
      <c r="I10" s="72" t="s">
        <v>1002</v>
      </c>
      <c r="J10" s="72" t="s">
        <v>1017</v>
      </c>
      <c r="K10" s="23"/>
      <c r="L10" s="23"/>
      <c r="M10" s="23"/>
      <c r="N10" s="23"/>
      <c r="O10" s="23"/>
      <c r="P10" s="23"/>
      <c r="Q10" s="23"/>
      <c r="R10" s="23"/>
      <c r="S10" s="23"/>
      <c r="T10" s="23"/>
      <c r="U10" s="23"/>
      <c r="V10" s="23"/>
      <c r="W10" s="23"/>
      <c r="X10" s="23"/>
      <c r="Y10" s="23"/>
      <c r="Z10" s="23"/>
      <c r="AA10" s="23"/>
      <c r="AB10" s="23"/>
      <c r="AC10" s="23"/>
      <c r="AD10" s="23"/>
      <c r="AE10" s="23"/>
      <c r="AF10" s="23"/>
      <c r="AG10" s="23"/>
      <c r="AH10" s="23"/>
    </row>
    <row r="11" spans="1:34" ht="45" x14ac:dyDescent="0.25">
      <c r="A11" s="82" t="s">
        <v>987</v>
      </c>
      <c r="B11" s="72" t="s">
        <v>1026</v>
      </c>
      <c r="C11" s="72" t="s">
        <v>434</v>
      </c>
      <c r="D11" s="72" t="s">
        <v>1027</v>
      </c>
      <c r="E11" s="72" t="s">
        <v>45</v>
      </c>
      <c r="F11" s="72" t="s">
        <v>21</v>
      </c>
      <c r="G11" s="84">
        <v>45915</v>
      </c>
      <c r="H11" s="72" t="s">
        <v>1018</v>
      </c>
      <c r="I11" s="72" t="s">
        <v>1019</v>
      </c>
      <c r="J11" s="72" t="s">
        <v>975</v>
      </c>
      <c r="K11" s="23"/>
      <c r="L11" s="23"/>
      <c r="M11" s="23"/>
      <c r="N11" s="23"/>
      <c r="O11" s="23"/>
      <c r="P11" s="23"/>
      <c r="Q11" s="23"/>
      <c r="R11" s="23"/>
      <c r="S11" s="23"/>
      <c r="T11" s="23"/>
      <c r="U11" s="23"/>
      <c r="V11" s="23"/>
      <c r="W11" s="23"/>
      <c r="X11" s="23"/>
      <c r="Y11" s="23"/>
      <c r="Z11" s="23"/>
      <c r="AA11" s="23"/>
      <c r="AB11" s="23"/>
      <c r="AC11" s="23"/>
      <c r="AD11" s="23"/>
      <c r="AE11" s="23"/>
      <c r="AF11" s="23"/>
      <c r="AG11" s="23"/>
      <c r="AH11" s="23"/>
    </row>
    <row r="12" spans="1:34" ht="15.75"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row>
    <row r="13" spans="1:34" ht="15.75"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row>
    <row r="14" spans="1:34" ht="15.75" x14ac:dyDescent="0.25">
      <c r="K14" s="23"/>
      <c r="L14" s="23"/>
      <c r="M14" s="23"/>
      <c r="N14" s="23"/>
      <c r="O14" s="23"/>
      <c r="P14" s="23"/>
      <c r="Q14" s="23"/>
      <c r="R14" s="23"/>
      <c r="S14" s="23"/>
      <c r="T14" s="23"/>
      <c r="U14" s="23"/>
      <c r="V14" s="23"/>
      <c r="W14" s="23"/>
      <c r="X14" s="23"/>
      <c r="Y14" s="23"/>
      <c r="Z14" s="23"/>
      <c r="AA14" s="23"/>
      <c r="AB14" s="23"/>
      <c r="AC14" s="23"/>
      <c r="AD14" s="23"/>
      <c r="AE14" s="23"/>
      <c r="AF14" s="23"/>
      <c r="AG14" s="23"/>
      <c r="AH14" s="23"/>
    </row>
  </sheetData>
  <phoneticPr fontId="4" type="noConversion"/>
  <dataValidations count="1">
    <dataValidation type="list" allowBlank="1" showInputMessage="1" showErrorMessage="1" sqref="E12:E40" xr:uid="{4964FFA4-5A84-4323-BED7-AD245E5145B5}">
      <formula1>"Adversarial, Non-Adversarial"</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45065-D5E2-4D16-AB94-B3EC9C21A0BE}">
  <dimension ref="A1:E9"/>
  <sheetViews>
    <sheetView topLeftCell="A5" workbookViewId="0">
      <selection sqref="A1:E1"/>
    </sheetView>
  </sheetViews>
  <sheetFormatPr defaultRowHeight="15" x14ac:dyDescent="0.25"/>
  <cols>
    <col min="1" max="1" width="15" customWidth="1"/>
    <col min="2" max="2" width="25.5703125" customWidth="1"/>
    <col min="3" max="3" width="41.42578125" customWidth="1"/>
    <col min="4" max="4" width="60.85546875" customWidth="1"/>
    <col min="5" max="5" width="39.7109375" customWidth="1"/>
  </cols>
  <sheetData>
    <row r="1" spans="1:5" x14ac:dyDescent="0.25">
      <c r="A1" s="85" t="s">
        <v>984</v>
      </c>
      <c r="B1" s="85"/>
      <c r="C1" s="85"/>
      <c r="D1" s="85"/>
      <c r="E1" s="85"/>
    </row>
    <row r="2" spans="1:5" x14ac:dyDescent="0.25">
      <c r="A2" s="80" t="s">
        <v>39</v>
      </c>
      <c r="B2" s="80" t="s">
        <v>945</v>
      </c>
      <c r="C2" s="80" t="s">
        <v>42</v>
      </c>
      <c r="D2" s="80" t="s">
        <v>946</v>
      </c>
      <c r="E2" s="80" t="s">
        <v>947</v>
      </c>
    </row>
    <row r="3" spans="1:5" ht="30" x14ac:dyDescent="0.25">
      <c r="A3" s="82" t="s">
        <v>948</v>
      </c>
      <c r="B3" s="72" t="s">
        <v>45</v>
      </c>
      <c r="C3" s="72" t="s">
        <v>1034</v>
      </c>
      <c r="D3" s="72" t="s">
        <v>1035</v>
      </c>
      <c r="E3" s="72" t="s">
        <v>1048</v>
      </c>
    </row>
    <row r="4" spans="1:5" ht="30" x14ac:dyDescent="0.25">
      <c r="A4" s="82" t="s">
        <v>949</v>
      </c>
      <c r="B4" s="72" t="s">
        <v>45</v>
      </c>
      <c r="C4" s="72" t="s">
        <v>1036</v>
      </c>
      <c r="D4" s="72" t="s">
        <v>1037</v>
      </c>
      <c r="E4" s="72" t="s">
        <v>1049</v>
      </c>
    </row>
    <row r="5" spans="1:5" ht="30" x14ac:dyDescent="0.25">
      <c r="A5" s="82" t="s">
        <v>950</v>
      </c>
      <c r="B5" s="72" t="s">
        <v>45</v>
      </c>
      <c r="C5" s="72" t="s">
        <v>1038</v>
      </c>
      <c r="D5" s="72" t="s">
        <v>1039</v>
      </c>
      <c r="E5" s="72" t="s">
        <v>1050</v>
      </c>
    </row>
    <row r="6" spans="1:5" ht="30" x14ac:dyDescent="0.25">
      <c r="A6" s="82" t="s">
        <v>978</v>
      </c>
      <c r="B6" s="72" t="s">
        <v>974</v>
      </c>
      <c r="C6" s="72" t="s">
        <v>1040</v>
      </c>
      <c r="D6" s="72" t="s">
        <v>1041</v>
      </c>
      <c r="E6" s="72" t="s">
        <v>983</v>
      </c>
    </row>
    <row r="7" spans="1:5" ht="30" x14ac:dyDescent="0.25">
      <c r="A7" s="82" t="s">
        <v>980</v>
      </c>
      <c r="B7" s="72" t="s">
        <v>45</v>
      </c>
      <c r="C7" s="72" t="s">
        <v>1042</v>
      </c>
      <c r="D7" s="72" t="s">
        <v>1043</v>
      </c>
      <c r="E7" s="72" t="s">
        <v>985</v>
      </c>
    </row>
    <row r="8" spans="1:5" ht="30" x14ac:dyDescent="0.25">
      <c r="A8" s="82" t="s">
        <v>982</v>
      </c>
      <c r="B8" s="72" t="s">
        <v>45</v>
      </c>
      <c r="C8" s="72" t="s">
        <v>1044</v>
      </c>
      <c r="D8" s="72" t="s">
        <v>1045</v>
      </c>
      <c r="E8" s="72" t="s">
        <v>986</v>
      </c>
    </row>
    <row r="9" spans="1:5" ht="30" x14ac:dyDescent="0.25">
      <c r="A9" s="82" t="s">
        <v>988</v>
      </c>
      <c r="B9" s="72" t="s">
        <v>45</v>
      </c>
      <c r="C9" s="72" t="s">
        <v>1046</v>
      </c>
      <c r="D9" s="72" t="s">
        <v>1047</v>
      </c>
      <c r="E9" s="72" t="s">
        <v>987</v>
      </c>
    </row>
  </sheetData>
  <mergeCells count="1">
    <mergeCell ref="A1:E1"/>
  </mergeCells>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8DFFB-AF02-49F8-9FEC-42BDA2ECAB48}">
  <dimension ref="A1:B201"/>
  <sheetViews>
    <sheetView topLeftCell="A81" zoomScale="102" zoomScaleNormal="102" workbookViewId="0">
      <selection activeCell="B92" sqref="B92"/>
    </sheetView>
  </sheetViews>
  <sheetFormatPr defaultRowHeight="15" x14ac:dyDescent="0.25"/>
  <cols>
    <col min="1" max="1" width="14.28515625" customWidth="1"/>
    <col min="2" max="2" width="70.5703125" customWidth="1"/>
  </cols>
  <sheetData>
    <row r="1" spans="1:2" ht="15.75" x14ac:dyDescent="0.25">
      <c r="A1" s="31" t="s">
        <v>46</v>
      </c>
      <c r="B1" s="31" t="s">
        <v>47</v>
      </c>
    </row>
    <row r="2" spans="1:2" ht="15.75" x14ac:dyDescent="0.25">
      <c r="A2" s="30" t="s">
        <v>48</v>
      </c>
      <c r="B2" s="23" t="s">
        <v>49</v>
      </c>
    </row>
    <row r="3" spans="1:2" x14ac:dyDescent="0.25">
      <c r="A3" s="30" t="s">
        <v>50</v>
      </c>
      <c r="B3" s="30" t="s">
        <v>51</v>
      </c>
    </row>
    <row r="4" spans="1:2" x14ac:dyDescent="0.25">
      <c r="A4" s="30" t="s">
        <v>52</v>
      </c>
      <c r="B4" s="30" t="s">
        <v>53</v>
      </c>
    </row>
    <row r="5" spans="1:2" x14ac:dyDescent="0.25">
      <c r="A5" s="30" t="s">
        <v>54</v>
      </c>
      <c r="B5" s="30" t="s">
        <v>55</v>
      </c>
    </row>
    <row r="6" spans="1:2" x14ac:dyDescent="0.25">
      <c r="A6" s="30" t="s">
        <v>56</v>
      </c>
      <c r="B6" s="30" t="s">
        <v>57</v>
      </c>
    </row>
    <row r="7" spans="1:2" x14ac:dyDescent="0.25">
      <c r="A7" s="30" t="s">
        <v>58</v>
      </c>
      <c r="B7" s="30" t="s">
        <v>59</v>
      </c>
    </row>
    <row r="8" spans="1:2" x14ac:dyDescent="0.25">
      <c r="A8" s="30" t="s">
        <v>60</v>
      </c>
      <c r="B8" s="30" t="s">
        <v>61</v>
      </c>
    </row>
    <row r="9" spans="1:2" x14ac:dyDescent="0.25">
      <c r="A9" s="30" t="s">
        <v>62</v>
      </c>
      <c r="B9" s="30" t="s">
        <v>63</v>
      </c>
    </row>
    <row r="10" spans="1:2" x14ac:dyDescent="0.25">
      <c r="A10" s="30" t="s">
        <v>64</v>
      </c>
      <c r="B10" s="30" t="s">
        <v>65</v>
      </c>
    </row>
    <row r="11" spans="1:2" x14ac:dyDescent="0.25">
      <c r="A11" s="30" t="s">
        <v>66</v>
      </c>
      <c r="B11" s="30" t="s">
        <v>67</v>
      </c>
    </row>
    <row r="12" spans="1:2" ht="15" customHeight="1" x14ac:dyDescent="0.25">
      <c r="A12" s="30" t="s">
        <v>68</v>
      </c>
      <c r="B12" s="30" t="s">
        <v>69</v>
      </c>
    </row>
    <row r="13" spans="1:2" x14ac:dyDescent="0.25">
      <c r="A13" s="30" t="s">
        <v>70</v>
      </c>
      <c r="B13" s="30" t="s">
        <v>71</v>
      </c>
    </row>
    <row r="14" spans="1:2" x14ac:dyDescent="0.25">
      <c r="A14" s="30" t="s">
        <v>72</v>
      </c>
      <c r="B14" s="30" t="s">
        <v>73</v>
      </c>
    </row>
    <row r="15" spans="1:2" x14ac:dyDescent="0.25">
      <c r="A15" s="30" t="s">
        <v>74</v>
      </c>
      <c r="B15" s="30" t="s">
        <v>75</v>
      </c>
    </row>
    <row r="16" spans="1:2" x14ac:dyDescent="0.25">
      <c r="A16" s="30" t="s">
        <v>76</v>
      </c>
      <c r="B16" s="30" t="s">
        <v>77</v>
      </c>
    </row>
    <row r="17" spans="1:2" x14ac:dyDescent="0.25">
      <c r="A17" s="30" t="s">
        <v>78</v>
      </c>
      <c r="B17" s="30" t="s">
        <v>79</v>
      </c>
    </row>
    <row r="18" spans="1:2" x14ac:dyDescent="0.25">
      <c r="A18" s="30" t="s">
        <v>80</v>
      </c>
      <c r="B18" s="30" t="s">
        <v>81</v>
      </c>
    </row>
    <row r="19" spans="1:2" x14ac:dyDescent="0.25">
      <c r="A19" s="30" t="s">
        <v>82</v>
      </c>
      <c r="B19" s="30" t="s">
        <v>83</v>
      </c>
    </row>
    <row r="20" spans="1:2" x14ac:dyDescent="0.25">
      <c r="A20" s="30" t="s">
        <v>84</v>
      </c>
      <c r="B20" s="30" t="s">
        <v>85</v>
      </c>
    </row>
    <row r="21" spans="1:2" x14ac:dyDescent="0.25">
      <c r="A21" s="30" t="s">
        <v>86</v>
      </c>
      <c r="B21" s="30" t="s">
        <v>87</v>
      </c>
    </row>
    <row r="22" spans="1:2" x14ac:dyDescent="0.25">
      <c r="A22" s="30" t="s">
        <v>88</v>
      </c>
      <c r="B22" s="30" t="s">
        <v>89</v>
      </c>
    </row>
    <row r="23" spans="1:2" ht="16.5" customHeight="1" x14ac:dyDescent="0.25">
      <c r="A23" s="30" t="s">
        <v>90</v>
      </c>
      <c r="B23" s="30" t="s">
        <v>91</v>
      </c>
    </row>
    <row r="24" spans="1:2" x14ac:dyDescent="0.25">
      <c r="A24" s="30" t="s">
        <v>92</v>
      </c>
      <c r="B24" s="30" t="s">
        <v>93</v>
      </c>
    </row>
    <row r="25" spans="1:2" x14ac:dyDescent="0.25">
      <c r="A25" s="30" t="s">
        <v>94</v>
      </c>
      <c r="B25" s="30" t="s">
        <v>95</v>
      </c>
    </row>
    <row r="26" spans="1:2" x14ac:dyDescent="0.25">
      <c r="A26" s="30" t="s">
        <v>96</v>
      </c>
      <c r="B26" s="30" t="s">
        <v>97</v>
      </c>
    </row>
    <row r="27" spans="1:2" x14ac:dyDescent="0.25">
      <c r="A27" s="30" t="s">
        <v>98</v>
      </c>
      <c r="B27" s="30" t="s">
        <v>99</v>
      </c>
    </row>
    <row r="28" spans="1:2" x14ac:dyDescent="0.25">
      <c r="A28" s="30" t="s">
        <v>100</v>
      </c>
      <c r="B28" s="30" t="s">
        <v>101</v>
      </c>
    </row>
    <row r="29" spans="1:2" x14ac:dyDescent="0.25">
      <c r="A29" s="30" t="s">
        <v>102</v>
      </c>
      <c r="B29" s="30" t="s">
        <v>103</v>
      </c>
    </row>
    <row r="30" spans="1:2" x14ac:dyDescent="0.25">
      <c r="A30" s="30" t="s">
        <v>104</v>
      </c>
      <c r="B30" s="30" t="s">
        <v>105</v>
      </c>
    </row>
    <row r="31" spans="1:2" x14ac:dyDescent="0.25">
      <c r="A31" s="30" t="s">
        <v>106</v>
      </c>
      <c r="B31" s="30" t="s">
        <v>107</v>
      </c>
    </row>
    <row r="32" spans="1:2" x14ac:dyDescent="0.25">
      <c r="A32" s="30" t="s">
        <v>108</v>
      </c>
      <c r="B32" s="30" t="s">
        <v>83</v>
      </c>
    </row>
    <row r="33" spans="1:2" x14ac:dyDescent="0.25">
      <c r="A33" s="30" t="s">
        <v>109</v>
      </c>
      <c r="B33" s="30" t="s">
        <v>110</v>
      </c>
    </row>
    <row r="34" spans="1:2" x14ac:dyDescent="0.25">
      <c r="A34" s="30" t="s">
        <v>111</v>
      </c>
      <c r="B34" s="30" t="s">
        <v>112</v>
      </c>
    </row>
    <row r="35" spans="1:2" x14ac:dyDescent="0.25">
      <c r="A35" s="30" t="s">
        <v>113</v>
      </c>
      <c r="B35" s="30" t="s">
        <v>114</v>
      </c>
    </row>
    <row r="36" spans="1:2" x14ac:dyDescent="0.25">
      <c r="A36" s="30" t="s">
        <v>115</v>
      </c>
      <c r="B36" s="30" t="s">
        <v>116</v>
      </c>
    </row>
    <row r="37" spans="1:2" ht="19.5" customHeight="1" x14ac:dyDescent="0.25">
      <c r="A37" s="30" t="s">
        <v>117</v>
      </c>
      <c r="B37" s="30" t="s">
        <v>118</v>
      </c>
    </row>
    <row r="38" spans="1:2" x14ac:dyDescent="0.25">
      <c r="A38" s="30" t="s">
        <v>119</v>
      </c>
      <c r="B38" s="30" t="s">
        <v>120</v>
      </c>
    </row>
    <row r="39" spans="1:2" x14ac:dyDescent="0.25">
      <c r="A39" s="30" t="s">
        <v>121</v>
      </c>
      <c r="B39" s="30" t="s">
        <v>122</v>
      </c>
    </row>
    <row r="40" spans="1:2" x14ac:dyDescent="0.25">
      <c r="A40" s="30" t="s">
        <v>123</v>
      </c>
      <c r="B40" s="30" t="s">
        <v>124</v>
      </c>
    </row>
    <row r="41" spans="1:2" x14ac:dyDescent="0.25">
      <c r="A41" s="30" t="s">
        <v>125</v>
      </c>
      <c r="B41" s="30" t="s">
        <v>83</v>
      </c>
    </row>
    <row r="42" spans="1:2" x14ac:dyDescent="0.25">
      <c r="A42" s="30" t="s">
        <v>126</v>
      </c>
      <c r="B42" s="30" t="s">
        <v>127</v>
      </c>
    </row>
    <row r="43" spans="1:2" x14ac:dyDescent="0.25">
      <c r="A43" s="30" t="s">
        <v>128</v>
      </c>
      <c r="B43" s="30" t="s">
        <v>129</v>
      </c>
    </row>
    <row r="44" spans="1:2" x14ac:dyDescent="0.25">
      <c r="A44" s="30" t="s">
        <v>130</v>
      </c>
      <c r="B44" s="30" t="s">
        <v>131</v>
      </c>
    </row>
    <row r="45" spans="1:2" x14ac:dyDescent="0.25">
      <c r="A45" s="30" t="s">
        <v>132</v>
      </c>
      <c r="B45" s="30" t="s">
        <v>133</v>
      </c>
    </row>
    <row r="46" spans="1:2" x14ac:dyDescent="0.25">
      <c r="A46" s="30" t="s">
        <v>134</v>
      </c>
      <c r="B46" s="30" t="s">
        <v>135</v>
      </c>
    </row>
    <row r="47" spans="1:2" x14ac:dyDescent="0.25">
      <c r="A47" s="30" t="s">
        <v>136</v>
      </c>
      <c r="B47" s="30" t="s">
        <v>137</v>
      </c>
    </row>
    <row r="48" spans="1:2" x14ac:dyDescent="0.25">
      <c r="A48" s="30" t="s">
        <v>138</v>
      </c>
      <c r="B48" s="30" t="s">
        <v>83</v>
      </c>
    </row>
    <row r="49" spans="1:2" x14ac:dyDescent="0.25">
      <c r="A49" s="30" t="s">
        <v>139</v>
      </c>
      <c r="B49" s="30" t="s">
        <v>140</v>
      </c>
    </row>
    <row r="50" spans="1:2" x14ac:dyDescent="0.25">
      <c r="A50" s="30" t="s">
        <v>141</v>
      </c>
      <c r="B50" s="30" t="s">
        <v>142</v>
      </c>
    </row>
    <row r="51" spans="1:2" x14ac:dyDescent="0.25">
      <c r="A51" s="30" t="s">
        <v>143</v>
      </c>
      <c r="B51" s="30" t="s">
        <v>144</v>
      </c>
    </row>
    <row r="52" spans="1:2" x14ac:dyDescent="0.25">
      <c r="A52" s="30" t="s">
        <v>145</v>
      </c>
      <c r="B52" s="30" t="s">
        <v>146</v>
      </c>
    </row>
    <row r="53" spans="1:2" x14ac:dyDescent="0.25">
      <c r="A53" s="30" t="s">
        <v>147</v>
      </c>
      <c r="B53" s="30" t="s">
        <v>148</v>
      </c>
    </row>
    <row r="54" spans="1:2" x14ac:dyDescent="0.25">
      <c r="A54" s="30" t="s">
        <v>149</v>
      </c>
      <c r="B54" s="30" t="s">
        <v>150</v>
      </c>
    </row>
    <row r="55" spans="1:2" x14ac:dyDescent="0.25">
      <c r="A55" s="30" t="s">
        <v>151</v>
      </c>
      <c r="B55" s="30" t="s">
        <v>152</v>
      </c>
    </row>
    <row r="56" spans="1:2" x14ac:dyDescent="0.25">
      <c r="A56" s="30" t="s">
        <v>153</v>
      </c>
      <c r="B56" s="30" t="s">
        <v>83</v>
      </c>
    </row>
    <row r="57" spans="1:2" x14ac:dyDescent="0.25">
      <c r="A57" s="30" t="s">
        <v>154</v>
      </c>
      <c r="B57" s="30" t="s">
        <v>155</v>
      </c>
    </row>
    <row r="58" spans="1:2" x14ac:dyDescent="0.25">
      <c r="A58" s="30" t="s">
        <v>156</v>
      </c>
      <c r="B58" s="30" t="s">
        <v>157</v>
      </c>
    </row>
    <row r="59" spans="1:2" x14ac:dyDescent="0.25">
      <c r="A59" s="30" t="s">
        <v>158</v>
      </c>
      <c r="B59" s="30" t="s">
        <v>159</v>
      </c>
    </row>
    <row r="60" spans="1:2" x14ac:dyDescent="0.25">
      <c r="A60" s="30" t="s">
        <v>58</v>
      </c>
      <c r="B60" s="30" t="s">
        <v>160</v>
      </c>
    </row>
    <row r="61" spans="1:2" x14ac:dyDescent="0.25">
      <c r="A61" s="30" t="s">
        <v>161</v>
      </c>
      <c r="B61" s="30" t="s">
        <v>162</v>
      </c>
    </row>
    <row r="62" spans="1:2" x14ac:dyDescent="0.25">
      <c r="A62" s="30" t="s">
        <v>163</v>
      </c>
      <c r="B62" s="30" t="s">
        <v>83</v>
      </c>
    </row>
    <row r="63" spans="1:2" x14ac:dyDescent="0.25">
      <c r="A63" s="30" t="s">
        <v>164</v>
      </c>
      <c r="B63" s="30" t="s">
        <v>165</v>
      </c>
    </row>
    <row r="64" spans="1:2" x14ac:dyDescent="0.25">
      <c r="A64" s="30" t="s">
        <v>166</v>
      </c>
      <c r="B64" s="30" t="s">
        <v>167</v>
      </c>
    </row>
    <row r="65" spans="1:2" x14ac:dyDescent="0.25">
      <c r="A65" s="30" t="s">
        <v>168</v>
      </c>
      <c r="B65" s="30" t="s">
        <v>169</v>
      </c>
    </row>
    <row r="66" spans="1:2" x14ac:dyDescent="0.25">
      <c r="A66" s="30" t="s">
        <v>170</v>
      </c>
      <c r="B66" s="30" t="s">
        <v>171</v>
      </c>
    </row>
    <row r="67" spans="1:2" x14ac:dyDescent="0.25">
      <c r="A67" s="30" t="s">
        <v>172</v>
      </c>
      <c r="B67" s="30" t="s">
        <v>173</v>
      </c>
    </row>
    <row r="68" spans="1:2" x14ac:dyDescent="0.25">
      <c r="A68" s="30" t="s">
        <v>174</v>
      </c>
      <c r="B68" s="30" t="s">
        <v>175</v>
      </c>
    </row>
    <row r="69" spans="1:2" x14ac:dyDescent="0.25">
      <c r="A69" s="30" t="s">
        <v>176</v>
      </c>
      <c r="B69" s="30" t="s">
        <v>177</v>
      </c>
    </row>
    <row r="70" spans="1:2" x14ac:dyDescent="0.25">
      <c r="A70" s="30" t="s">
        <v>178</v>
      </c>
      <c r="B70" s="30" t="s">
        <v>179</v>
      </c>
    </row>
    <row r="71" spans="1:2" x14ac:dyDescent="0.25">
      <c r="A71" s="30" t="s">
        <v>64</v>
      </c>
      <c r="B71" s="30" t="s">
        <v>65</v>
      </c>
    </row>
    <row r="72" spans="1:2" x14ac:dyDescent="0.25">
      <c r="A72" s="30" t="s">
        <v>180</v>
      </c>
      <c r="B72" s="30" t="s">
        <v>181</v>
      </c>
    </row>
    <row r="73" spans="1:2" x14ac:dyDescent="0.25">
      <c r="A73" s="30" t="s">
        <v>182</v>
      </c>
      <c r="B73" s="30" t="s">
        <v>183</v>
      </c>
    </row>
    <row r="74" spans="1:2" x14ac:dyDescent="0.25">
      <c r="A74" s="30" t="s">
        <v>184</v>
      </c>
      <c r="B74" s="30" t="s">
        <v>185</v>
      </c>
    </row>
    <row r="75" spans="1:2" x14ac:dyDescent="0.25">
      <c r="A75" s="30" t="s">
        <v>186</v>
      </c>
      <c r="B75" s="30" t="s">
        <v>83</v>
      </c>
    </row>
    <row r="76" spans="1:2" x14ac:dyDescent="0.25">
      <c r="A76" s="30" t="s">
        <v>187</v>
      </c>
      <c r="B76" s="30" t="s">
        <v>188</v>
      </c>
    </row>
    <row r="77" spans="1:2" x14ac:dyDescent="0.25">
      <c r="A77" s="30" t="s">
        <v>189</v>
      </c>
      <c r="B77" s="30" t="s">
        <v>190</v>
      </c>
    </row>
    <row r="78" spans="1:2" x14ac:dyDescent="0.25">
      <c r="A78" s="30" t="s">
        <v>191</v>
      </c>
      <c r="B78" s="30" t="s">
        <v>192</v>
      </c>
    </row>
    <row r="79" spans="1:2" x14ac:dyDescent="0.25">
      <c r="A79" s="30" t="s">
        <v>193</v>
      </c>
      <c r="B79" s="30" t="s">
        <v>194</v>
      </c>
    </row>
    <row r="80" spans="1:2" x14ac:dyDescent="0.25">
      <c r="A80" s="30" t="s">
        <v>195</v>
      </c>
      <c r="B80" s="30" t="s">
        <v>196</v>
      </c>
    </row>
    <row r="81" spans="1:2" x14ac:dyDescent="0.25">
      <c r="A81" s="30" t="s">
        <v>197</v>
      </c>
      <c r="B81" s="30" t="s">
        <v>83</v>
      </c>
    </row>
    <row r="82" spans="1:2" x14ac:dyDescent="0.25">
      <c r="A82" s="30" t="s">
        <v>198</v>
      </c>
      <c r="B82" s="30" t="s">
        <v>199</v>
      </c>
    </row>
    <row r="83" spans="1:2" x14ac:dyDescent="0.25">
      <c r="A83" s="30" t="s">
        <v>200</v>
      </c>
      <c r="B83" s="30" t="s">
        <v>201</v>
      </c>
    </row>
    <row r="84" spans="1:2" x14ac:dyDescent="0.25">
      <c r="A84" s="30" t="s">
        <v>202</v>
      </c>
      <c r="B84" s="30" t="s">
        <v>203</v>
      </c>
    </row>
    <row r="85" spans="1:2" x14ac:dyDescent="0.25">
      <c r="A85" s="30" t="s">
        <v>204</v>
      </c>
      <c r="B85" s="30" t="s">
        <v>205</v>
      </c>
    </row>
    <row r="86" spans="1:2" x14ac:dyDescent="0.25">
      <c r="A86" s="30" t="s">
        <v>206</v>
      </c>
      <c r="B86" s="30" t="s">
        <v>207</v>
      </c>
    </row>
    <row r="87" spans="1:2" x14ac:dyDescent="0.25">
      <c r="A87" s="30" t="s">
        <v>208</v>
      </c>
      <c r="B87" s="30" t="s">
        <v>209</v>
      </c>
    </row>
    <row r="88" spans="1:2" x14ac:dyDescent="0.25">
      <c r="A88" s="30" t="s">
        <v>210</v>
      </c>
      <c r="B88" s="30" t="s">
        <v>83</v>
      </c>
    </row>
    <row r="89" spans="1:2" x14ac:dyDescent="0.25">
      <c r="A89" s="30" t="s">
        <v>211</v>
      </c>
      <c r="B89" s="30" t="s">
        <v>212</v>
      </c>
    </row>
    <row r="90" spans="1:2" x14ac:dyDescent="0.25">
      <c r="A90" s="30" t="s">
        <v>213</v>
      </c>
      <c r="B90" s="30" t="s">
        <v>214</v>
      </c>
    </row>
    <row r="91" spans="1:2" x14ac:dyDescent="0.25">
      <c r="A91" s="30" t="s">
        <v>215</v>
      </c>
      <c r="B91" s="30" t="s">
        <v>216</v>
      </c>
    </row>
    <row r="92" spans="1:2" x14ac:dyDescent="0.25">
      <c r="A92" s="30" t="s">
        <v>217</v>
      </c>
      <c r="B92" s="30" t="s">
        <v>218</v>
      </c>
    </row>
    <row r="93" spans="1:2" x14ac:dyDescent="0.25">
      <c r="A93" s="30" t="s">
        <v>219</v>
      </c>
      <c r="B93" s="30" t="s">
        <v>220</v>
      </c>
    </row>
    <row r="94" spans="1:2" x14ac:dyDescent="0.25">
      <c r="A94" s="30" t="s">
        <v>221</v>
      </c>
      <c r="B94" s="30" t="s">
        <v>222</v>
      </c>
    </row>
    <row r="95" spans="1:2" x14ac:dyDescent="0.25">
      <c r="A95" s="30" t="s">
        <v>223</v>
      </c>
      <c r="B95" s="30" t="s">
        <v>224</v>
      </c>
    </row>
    <row r="96" spans="1:2" x14ac:dyDescent="0.25">
      <c r="A96" s="30" t="s">
        <v>225</v>
      </c>
      <c r="B96" s="30" t="s">
        <v>226</v>
      </c>
    </row>
    <row r="97" spans="1:2" x14ac:dyDescent="0.25">
      <c r="A97" s="30" t="s">
        <v>227</v>
      </c>
      <c r="B97" s="30" t="s">
        <v>228</v>
      </c>
    </row>
    <row r="98" spans="1:2" x14ac:dyDescent="0.25">
      <c r="A98" s="30" t="s">
        <v>229</v>
      </c>
      <c r="B98" s="30" t="s">
        <v>230</v>
      </c>
    </row>
    <row r="99" spans="1:2" x14ac:dyDescent="0.25">
      <c r="A99" s="30" t="s">
        <v>231</v>
      </c>
      <c r="B99" s="30" t="s">
        <v>232</v>
      </c>
    </row>
    <row r="100" spans="1:2" x14ac:dyDescent="0.25">
      <c r="A100" s="30" t="s">
        <v>233</v>
      </c>
      <c r="B100" s="30" t="s">
        <v>234</v>
      </c>
    </row>
    <row r="101" spans="1:2" x14ac:dyDescent="0.25">
      <c r="A101" s="30" t="s">
        <v>235</v>
      </c>
      <c r="B101" s="30" t="s">
        <v>236</v>
      </c>
    </row>
    <row r="102" spans="1:2" x14ac:dyDescent="0.25">
      <c r="A102" s="30" t="s">
        <v>237</v>
      </c>
      <c r="B102" s="30" t="s">
        <v>238</v>
      </c>
    </row>
    <row r="103" spans="1:2" x14ac:dyDescent="0.25">
      <c r="A103" s="30" t="s">
        <v>239</v>
      </c>
      <c r="B103" s="30" t="s">
        <v>240</v>
      </c>
    </row>
    <row r="104" spans="1:2" x14ac:dyDescent="0.25">
      <c r="A104" s="30" t="s">
        <v>66</v>
      </c>
      <c r="B104" s="30" t="s">
        <v>67</v>
      </c>
    </row>
    <row r="105" spans="1:2" x14ac:dyDescent="0.25">
      <c r="A105" s="30" t="s">
        <v>241</v>
      </c>
      <c r="B105" s="30" t="s">
        <v>242</v>
      </c>
    </row>
    <row r="106" spans="1:2" x14ac:dyDescent="0.25">
      <c r="A106" s="30" t="s">
        <v>243</v>
      </c>
      <c r="B106" s="30" t="s">
        <v>244</v>
      </c>
    </row>
    <row r="107" spans="1:2" x14ac:dyDescent="0.25">
      <c r="A107" s="30" t="s">
        <v>245</v>
      </c>
      <c r="B107" s="30" t="s">
        <v>246</v>
      </c>
    </row>
    <row r="108" spans="1:2" x14ac:dyDescent="0.25">
      <c r="A108" s="30" t="s">
        <v>247</v>
      </c>
      <c r="B108" s="30" t="s">
        <v>83</v>
      </c>
    </row>
    <row r="109" spans="1:2" x14ac:dyDescent="0.25">
      <c r="A109" s="30" t="s">
        <v>248</v>
      </c>
      <c r="B109" s="30" t="s">
        <v>249</v>
      </c>
    </row>
    <row r="110" spans="1:2" x14ac:dyDescent="0.25">
      <c r="A110" s="30" t="s">
        <v>250</v>
      </c>
      <c r="B110" s="30" t="s">
        <v>251</v>
      </c>
    </row>
    <row r="111" spans="1:2" x14ac:dyDescent="0.25">
      <c r="A111" s="30" t="s">
        <v>252</v>
      </c>
      <c r="B111" s="30" t="s">
        <v>253</v>
      </c>
    </row>
    <row r="112" spans="1:2" ht="15.75" customHeight="1" x14ac:dyDescent="0.25">
      <c r="A112" s="30" t="s">
        <v>254</v>
      </c>
      <c r="B112" s="30" t="s">
        <v>255</v>
      </c>
    </row>
    <row r="113" spans="1:2" x14ac:dyDescent="0.25">
      <c r="A113" s="30" t="s">
        <v>256</v>
      </c>
      <c r="B113" s="30" t="s">
        <v>257</v>
      </c>
    </row>
    <row r="114" spans="1:2" x14ac:dyDescent="0.25">
      <c r="A114" s="30" t="s">
        <v>258</v>
      </c>
      <c r="B114" s="30" t="s">
        <v>259</v>
      </c>
    </row>
    <row r="115" spans="1:2" x14ac:dyDescent="0.25">
      <c r="A115" s="30" t="s">
        <v>260</v>
      </c>
      <c r="B115" s="30" t="s">
        <v>261</v>
      </c>
    </row>
    <row r="116" spans="1:2" x14ac:dyDescent="0.25">
      <c r="A116" s="30" t="s">
        <v>262</v>
      </c>
      <c r="B116" s="30" t="s">
        <v>263</v>
      </c>
    </row>
    <row r="117" spans="1:2" x14ac:dyDescent="0.25">
      <c r="A117" s="30" t="s">
        <v>264</v>
      </c>
      <c r="B117" s="30" t="s">
        <v>265</v>
      </c>
    </row>
    <row r="118" spans="1:2" x14ac:dyDescent="0.25">
      <c r="A118" s="30" t="s">
        <v>266</v>
      </c>
      <c r="B118" s="30" t="s">
        <v>267</v>
      </c>
    </row>
    <row r="119" spans="1:2" x14ac:dyDescent="0.25">
      <c r="A119" s="30" t="s">
        <v>268</v>
      </c>
      <c r="B119" s="30" t="s">
        <v>269</v>
      </c>
    </row>
    <row r="120" spans="1:2" ht="14.25" customHeight="1" x14ac:dyDescent="0.25">
      <c r="A120" s="30" t="s">
        <v>270</v>
      </c>
      <c r="B120" s="30" t="s">
        <v>271</v>
      </c>
    </row>
    <row r="121" spans="1:2" x14ac:dyDescent="0.25">
      <c r="A121" s="30" t="s">
        <v>272</v>
      </c>
      <c r="B121" s="30" t="s">
        <v>273</v>
      </c>
    </row>
    <row r="122" spans="1:2" ht="15.75" customHeight="1" x14ac:dyDescent="0.25">
      <c r="A122" s="30" t="s">
        <v>274</v>
      </c>
      <c r="B122" s="30" t="s">
        <v>275</v>
      </c>
    </row>
    <row r="123" spans="1:2" x14ac:dyDescent="0.25">
      <c r="A123" s="30" t="s">
        <v>276</v>
      </c>
      <c r="B123" s="30" t="s">
        <v>277</v>
      </c>
    </row>
    <row r="124" spans="1:2" x14ac:dyDescent="0.25">
      <c r="A124" s="30" t="s">
        <v>278</v>
      </c>
      <c r="B124" s="30" t="s">
        <v>279</v>
      </c>
    </row>
    <row r="125" spans="1:2" ht="15" customHeight="1" x14ac:dyDescent="0.25">
      <c r="A125" s="30" t="s">
        <v>280</v>
      </c>
      <c r="B125" s="30" t="s">
        <v>281</v>
      </c>
    </row>
    <row r="126" spans="1:2" x14ac:dyDescent="0.25">
      <c r="A126" s="30" t="s">
        <v>282</v>
      </c>
      <c r="B126" s="30" t="s">
        <v>283</v>
      </c>
    </row>
    <row r="127" spans="1:2" ht="17.25" customHeight="1" x14ac:dyDescent="0.25">
      <c r="A127" s="30" t="s">
        <v>284</v>
      </c>
      <c r="B127" s="30" t="s">
        <v>285</v>
      </c>
    </row>
    <row r="128" spans="1:2" x14ac:dyDescent="0.25">
      <c r="A128" s="30" t="s">
        <v>286</v>
      </c>
      <c r="B128" s="30" t="s">
        <v>287</v>
      </c>
    </row>
    <row r="129" spans="1:2" x14ac:dyDescent="0.25">
      <c r="A129" s="30" t="s">
        <v>288</v>
      </c>
      <c r="B129" s="30" t="s">
        <v>289</v>
      </c>
    </row>
    <row r="130" spans="1:2" ht="29.25" customHeight="1" x14ac:dyDescent="0.25">
      <c r="A130" s="30" t="s">
        <v>290</v>
      </c>
      <c r="B130" s="30" t="s">
        <v>291</v>
      </c>
    </row>
    <row r="131" spans="1:2" x14ac:dyDescent="0.25">
      <c r="A131" s="30" t="s">
        <v>292</v>
      </c>
      <c r="B131" s="30" t="s">
        <v>293</v>
      </c>
    </row>
    <row r="132" spans="1:2" x14ac:dyDescent="0.25">
      <c r="A132" s="30" t="s">
        <v>294</v>
      </c>
      <c r="B132" s="30" t="s">
        <v>295</v>
      </c>
    </row>
    <row r="133" spans="1:2" x14ac:dyDescent="0.25">
      <c r="A133" s="30" t="s">
        <v>296</v>
      </c>
      <c r="B133" s="30" t="s">
        <v>297</v>
      </c>
    </row>
    <row r="134" spans="1:2" ht="17.25" customHeight="1" x14ac:dyDescent="0.25">
      <c r="A134" s="30" t="s">
        <v>298</v>
      </c>
      <c r="B134" s="30" t="s">
        <v>299</v>
      </c>
    </row>
    <row r="135" spans="1:2" x14ac:dyDescent="0.25">
      <c r="A135" s="30" t="s">
        <v>300</v>
      </c>
      <c r="B135" s="30" t="s">
        <v>301</v>
      </c>
    </row>
    <row r="136" spans="1:2" x14ac:dyDescent="0.25">
      <c r="A136" s="30" t="s">
        <v>302</v>
      </c>
      <c r="B136" s="30" t="s">
        <v>303</v>
      </c>
    </row>
    <row r="137" spans="1:2" x14ac:dyDescent="0.25">
      <c r="A137" s="30" t="s">
        <v>304</v>
      </c>
      <c r="B137" s="30" t="s">
        <v>305</v>
      </c>
    </row>
    <row r="138" spans="1:2" x14ac:dyDescent="0.25">
      <c r="A138" s="30" t="s">
        <v>306</v>
      </c>
      <c r="B138" s="30" t="s">
        <v>307</v>
      </c>
    </row>
    <row r="139" spans="1:2" x14ac:dyDescent="0.25">
      <c r="A139" s="30" t="s">
        <v>308</v>
      </c>
      <c r="B139" s="30" t="s">
        <v>309</v>
      </c>
    </row>
    <row r="140" spans="1:2" x14ac:dyDescent="0.25">
      <c r="A140" s="30" t="s">
        <v>310</v>
      </c>
      <c r="B140" s="30" t="s">
        <v>311</v>
      </c>
    </row>
    <row r="141" spans="1:2" x14ac:dyDescent="0.25">
      <c r="A141" s="30" t="s">
        <v>312</v>
      </c>
      <c r="B141" s="30" t="s">
        <v>313</v>
      </c>
    </row>
    <row r="142" spans="1:2" x14ac:dyDescent="0.25">
      <c r="A142" s="30" t="s">
        <v>314</v>
      </c>
      <c r="B142" s="30" t="s">
        <v>315</v>
      </c>
    </row>
    <row r="143" spans="1:2" x14ac:dyDescent="0.25">
      <c r="A143" s="30" t="s">
        <v>316</v>
      </c>
      <c r="B143" s="30" t="s">
        <v>317</v>
      </c>
    </row>
    <row r="144" spans="1:2" x14ac:dyDescent="0.25">
      <c r="A144" s="30" t="s">
        <v>318</v>
      </c>
      <c r="B144" s="30" t="s">
        <v>83</v>
      </c>
    </row>
    <row r="145" spans="1:2" x14ac:dyDescent="0.25">
      <c r="A145" s="30" t="s">
        <v>319</v>
      </c>
      <c r="B145" s="30" t="s">
        <v>320</v>
      </c>
    </row>
    <row r="146" spans="1:2" x14ac:dyDescent="0.25">
      <c r="A146" s="30" t="s">
        <v>321</v>
      </c>
      <c r="B146" s="30" t="s">
        <v>322</v>
      </c>
    </row>
    <row r="147" spans="1:2" x14ac:dyDescent="0.25">
      <c r="A147" s="30" t="s">
        <v>323</v>
      </c>
      <c r="B147" s="30" t="s">
        <v>324</v>
      </c>
    </row>
    <row r="148" spans="1:2" x14ac:dyDescent="0.25">
      <c r="A148" s="30" t="s">
        <v>325</v>
      </c>
      <c r="B148" s="30" t="s">
        <v>326</v>
      </c>
    </row>
    <row r="149" spans="1:2" x14ac:dyDescent="0.25">
      <c r="A149" s="30" t="s">
        <v>327</v>
      </c>
      <c r="B149" s="30" t="s">
        <v>328</v>
      </c>
    </row>
    <row r="150" spans="1:2" x14ac:dyDescent="0.25">
      <c r="A150" s="30" t="s">
        <v>329</v>
      </c>
      <c r="B150" s="30" t="s">
        <v>330</v>
      </c>
    </row>
    <row r="151" spans="1:2" x14ac:dyDescent="0.25">
      <c r="A151" s="30" t="s">
        <v>331</v>
      </c>
      <c r="B151" s="30" t="s">
        <v>332</v>
      </c>
    </row>
    <row r="152" spans="1:2" x14ac:dyDescent="0.25">
      <c r="A152" s="30" t="s">
        <v>333</v>
      </c>
      <c r="B152" s="30" t="s">
        <v>334</v>
      </c>
    </row>
    <row r="153" spans="1:2" x14ac:dyDescent="0.25">
      <c r="A153" s="30" t="s">
        <v>335</v>
      </c>
      <c r="B153" s="30" t="s">
        <v>83</v>
      </c>
    </row>
    <row r="154" spans="1:2" x14ac:dyDescent="0.25">
      <c r="A154" s="30" t="s">
        <v>336</v>
      </c>
      <c r="B154" s="30" t="s">
        <v>337</v>
      </c>
    </row>
    <row r="155" spans="1:2" x14ac:dyDescent="0.25">
      <c r="A155" s="30" t="s">
        <v>338</v>
      </c>
      <c r="B155" s="30" t="s">
        <v>339</v>
      </c>
    </row>
    <row r="156" spans="1:2" x14ac:dyDescent="0.25">
      <c r="A156" s="30" t="s">
        <v>340</v>
      </c>
      <c r="B156" s="30" t="s">
        <v>341</v>
      </c>
    </row>
    <row r="157" spans="1:2" x14ac:dyDescent="0.25">
      <c r="A157" s="30" t="s">
        <v>342</v>
      </c>
      <c r="B157" s="30" t="s">
        <v>343</v>
      </c>
    </row>
    <row r="158" spans="1:2" x14ac:dyDescent="0.25">
      <c r="A158" s="30" t="s">
        <v>344</v>
      </c>
      <c r="B158" s="30" t="s">
        <v>345</v>
      </c>
    </row>
    <row r="159" spans="1:2" x14ac:dyDescent="0.25">
      <c r="A159" s="30" t="s">
        <v>346</v>
      </c>
      <c r="B159" s="30" t="s">
        <v>347</v>
      </c>
    </row>
    <row r="160" spans="1:2" x14ac:dyDescent="0.25">
      <c r="A160" s="30" t="s">
        <v>348</v>
      </c>
      <c r="B160" s="30" t="s">
        <v>349</v>
      </c>
    </row>
    <row r="161" spans="1:2" x14ac:dyDescent="0.25">
      <c r="A161" s="30" t="s">
        <v>350</v>
      </c>
      <c r="B161" s="30" t="s">
        <v>351</v>
      </c>
    </row>
    <row r="162" spans="1:2" x14ac:dyDescent="0.25">
      <c r="A162" s="30" t="s">
        <v>352</v>
      </c>
      <c r="B162" s="30" t="s">
        <v>83</v>
      </c>
    </row>
    <row r="163" spans="1:2" x14ac:dyDescent="0.25">
      <c r="A163" s="30" t="s">
        <v>353</v>
      </c>
      <c r="B163" s="30" t="s">
        <v>354</v>
      </c>
    </row>
    <row r="164" spans="1:2" x14ac:dyDescent="0.25">
      <c r="A164" s="30" t="s">
        <v>355</v>
      </c>
      <c r="B164" s="30" t="s">
        <v>356</v>
      </c>
    </row>
    <row r="165" spans="1:2" x14ac:dyDescent="0.25">
      <c r="A165" s="30" t="s">
        <v>357</v>
      </c>
      <c r="B165" s="30" t="s">
        <v>358</v>
      </c>
    </row>
    <row r="166" spans="1:2" ht="20.25" customHeight="1" x14ac:dyDescent="0.25">
      <c r="A166" s="30" t="s">
        <v>359</v>
      </c>
      <c r="B166" s="30" t="s">
        <v>360</v>
      </c>
    </row>
    <row r="167" spans="1:2" x14ac:dyDescent="0.25">
      <c r="A167" s="30" t="s">
        <v>361</v>
      </c>
      <c r="B167" s="30" t="s">
        <v>362</v>
      </c>
    </row>
    <row r="168" spans="1:2" x14ac:dyDescent="0.25">
      <c r="A168" s="30" t="s">
        <v>363</v>
      </c>
      <c r="B168" s="30" t="s">
        <v>364</v>
      </c>
    </row>
    <row r="169" spans="1:2" x14ac:dyDescent="0.25">
      <c r="A169" s="30" t="s">
        <v>365</v>
      </c>
      <c r="B169" s="30" t="s">
        <v>366</v>
      </c>
    </row>
    <row r="170" spans="1:2" x14ac:dyDescent="0.25">
      <c r="A170" s="30" t="s">
        <v>367</v>
      </c>
      <c r="B170" s="30" t="s">
        <v>368</v>
      </c>
    </row>
    <row r="171" spans="1:2" ht="18" customHeight="1" x14ac:dyDescent="0.25">
      <c r="A171" s="30" t="s">
        <v>369</v>
      </c>
      <c r="B171" s="30" t="s">
        <v>370</v>
      </c>
    </row>
    <row r="172" spans="1:2" x14ac:dyDescent="0.25">
      <c r="A172" s="30" t="s">
        <v>371</v>
      </c>
      <c r="B172" s="30" t="s">
        <v>372</v>
      </c>
    </row>
    <row r="173" spans="1:2" x14ac:dyDescent="0.25">
      <c r="A173" s="30" t="s">
        <v>373</v>
      </c>
      <c r="B173" s="30" t="s">
        <v>374</v>
      </c>
    </row>
    <row r="174" spans="1:2" ht="15" customHeight="1" x14ac:dyDescent="0.25">
      <c r="A174" s="30" t="s">
        <v>375</v>
      </c>
      <c r="B174" s="30" t="s">
        <v>376</v>
      </c>
    </row>
    <row r="175" spans="1:2" x14ac:dyDescent="0.25">
      <c r="A175" s="30" t="s">
        <v>377</v>
      </c>
      <c r="B175" s="30" t="s">
        <v>351</v>
      </c>
    </row>
    <row r="176" spans="1:2" x14ac:dyDescent="0.25">
      <c r="A176" s="30" t="s">
        <v>378</v>
      </c>
      <c r="B176" s="30" t="s">
        <v>83</v>
      </c>
    </row>
    <row r="177" spans="1:2" ht="17.25" customHeight="1" x14ac:dyDescent="0.25">
      <c r="A177" s="30" t="s">
        <v>379</v>
      </c>
      <c r="B177" s="30" t="s">
        <v>380</v>
      </c>
    </row>
    <row r="178" spans="1:2" x14ac:dyDescent="0.25">
      <c r="A178" s="30" t="s">
        <v>381</v>
      </c>
      <c r="B178" s="30" t="s">
        <v>382</v>
      </c>
    </row>
    <row r="179" spans="1:2" x14ac:dyDescent="0.25">
      <c r="A179" s="30" t="s">
        <v>383</v>
      </c>
      <c r="B179" s="30" t="s">
        <v>384</v>
      </c>
    </row>
    <row r="180" spans="1:2" x14ac:dyDescent="0.25">
      <c r="A180" s="30" t="s">
        <v>72</v>
      </c>
      <c r="B180" s="30" t="s">
        <v>385</v>
      </c>
    </row>
    <row r="181" spans="1:2" x14ac:dyDescent="0.25">
      <c r="A181" s="30" t="s">
        <v>74</v>
      </c>
      <c r="B181" s="30" t="s">
        <v>75</v>
      </c>
    </row>
    <row r="182" spans="1:2" x14ac:dyDescent="0.25">
      <c r="A182" s="30" t="s">
        <v>386</v>
      </c>
      <c r="B182" s="30" t="s">
        <v>387</v>
      </c>
    </row>
    <row r="183" spans="1:2" x14ac:dyDescent="0.25">
      <c r="A183" s="30" t="s">
        <v>388</v>
      </c>
      <c r="B183" s="30" t="s">
        <v>389</v>
      </c>
    </row>
    <row r="184" spans="1:2" x14ac:dyDescent="0.25">
      <c r="A184" s="30" t="s">
        <v>390</v>
      </c>
      <c r="B184" s="30" t="s">
        <v>391</v>
      </c>
    </row>
    <row r="185" spans="1:2" x14ac:dyDescent="0.25">
      <c r="A185" s="30" t="s">
        <v>392</v>
      </c>
      <c r="B185" s="30" t="s">
        <v>393</v>
      </c>
    </row>
    <row r="186" spans="1:2" x14ac:dyDescent="0.25">
      <c r="A186" s="30" t="s">
        <v>394</v>
      </c>
      <c r="B186" s="30" t="s">
        <v>395</v>
      </c>
    </row>
    <row r="187" spans="1:2" x14ac:dyDescent="0.25">
      <c r="A187" s="30" t="s">
        <v>396</v>
      </c>
      <c r="B187" s="30" t="s">
        <v>397</v>
      </c>
    </row>
    <row r="188" spans="1:2" x14ac:dyDescent="0.25">
      <c r="A188" s="30" t="s">
        <v>398</v>
      </c>
      <c r="B188" s="30" t="s">
        <v>399</v>
      </c>
    </row>
    <row r="189" spans="1:2" x14ac:dyDescent="0.25">
      <c r="A189" s="30" t="s">
        <v>400</v>
      </c>
      <c r="B189" s="30" t="s">
        <v>401</v>
      </c>
    </row>
    <row r="190" spans="1:2" ht="18" customHeight="1" x14ac:dyDescent="0.25">
      <c r="A190" s="30" t="s">
        <v>68</v>
      </c>
      <c r="B190" s="30" t="s">
        <v>402</v>
      </c>
    </row>
    <row r="191" spans="1:2" x14ac:dyDescent="0.25">
      <c r="A191" s="30" t="s">
        <v>403</v>
      </c>
      <c r="B191" s="30" t="s">
        <v>399</v>
      </c>
    </row>
    <row r="192" spans="1:2" ht="15" customHeight="1" x14ac:dyDescent="0.25">
      <c r="A192" s="30" t="s">
        <v>404</v>
      </c>
      <c r="B192" s="30" t="s">
        <v>405</v>
      </c>
    </row>
    <row r="193" spans="1:2" x14ac:dyDescent="0.25">
      <c r="A193" s="30" t="s">
        <v>406</v>
      </c>
      <c r="B193" s="30" t="s">
        <v>407</v>
      </c>
    </row>
    <row r="194" spans="1:2" x14ac:dyDescent="0.25">
      <c r="A194" s="30" t="s">
        <v>408</v>
      </c>
      <c r="B194" s="30" t="s">
        <v>409</v>
      </c>
    </row>
    <row r="195" spans="1:2" ht="15.75" customHeight="1" x14ac:dyDescent="0.25">
      <c r="A195" s="30" t="s">
        <v>410</v>
      </c>
      <c r="B195" s="30" t="s">
        <v>411</v>
      </c>
    </row>
    <row r="196" spans="1:2" ht="18" customHeight="1" x14ac:dyDescent="0.25">
      <c r="A196" s="30" t="s">
        <v>412</v>
      </c>
      <c r="B196" s="30" t="s">
        <v>413</v>
      </c>
    </row>
    <row r="197" spans="1:2" ht="18.75" customHeight="1" x14ac:dyDescent="0.25">
      <c r="A197" s="30" t="s">
        <v>414</v>
      </c>
      <c r="B197" s="30" t="s">
        <v>415</v>
      </c>
    </row>
    <row r="198" spans="1:2" x14ac:dyDescent="0.25">
      <c r="A198" s="30" t="s">
        <v>416</v>
      </c>
      <c r="B198" s="30" t="s">
        <v>417</v>
      </c>
    </row>
    <row r="199" spans="1:2" x14ac:dyDescent="0.25">
      <c r="A199" s="30" t="s">
        <v>418</v>
      </c>
      <c r="B199" s="30" t="s">
        <v>419</v>
      </c>
    </row>
    <row r="200" spans="1:2" x14ac:dyDescent="0.25">
      <c r="A200" s="30" t="s">
        <v>420</v>
      </c>
      <c r="B200" s="30" t="s">
        <v>399</v>
      </c>
    </row>
    <row r="201" spans="1:2" x14ac:dyDescent="0.25">
      <c r="A201" s="30" t="s">
        <v>421</v>
      </c>
      <c r="B201" s="30" t="s">
        <v>422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C446-F9A9-4DA4-B070-22C5733B0C19}">
  <dimension ref="A1:G244"/>
  <sheetViews>
    <sheetView topLeftCell="A206" zoomScale="75" zoomScaleNormal="45" workbookViewId="0">
      <selection activeCell="B226" sqref="B226"/>
    </sheetView>
  </sheetViews>
  <sheetFormatPr defaultRowHeight="15" x14ac:dyDescent="0.25"/>
  <cols>
    <col min="1" max="1" width="26.7109375" customWidth="1"/>
    <col min="2" max="2" width="83.5703125" customWidth="1"/>
    <col min="3" max="4" width="45.7109375" customWidth="1"/>
  </cols>
  <sheetData>
    <row r="1" spans="1:7" ht="15.75" x14ac:dyDescent="0.25">
      <c r="A1" s="94" t="s">
        <v>423</v>
      </c>
      <c r="B1" s="94"/>
      <c r="C1" s="94"/>
      <c r="D1" s="94"/>
    </row>
    <row r="2" spans="1:7" ht="31.5" x14ac:dyDescent="0.25">
      <c r="A2" s="8" t="s">
        <v>424</v>
      </c>
      <c r="B2" s="9" t="s">
        <v>934</v>
      </c>
      <c r="C2" s="8" t="s">
        <v>2</v>
      </c>
      <c r="D2" s="8" t="s">
        <v>425</v>
      </c>
      <c r="G2" s="1"/>
    </row>
    <row r="3" spans="1:7" ht="15.75" x14ac:dyDescent="0.25">
      <c r="A3" s="32" t="s">
        <v>426</v>
      </c>
      <c r="B3" s="32" t="s">
        <v>427</v>
      </c>
      <c r="C3" s="32" t="s">
        <v>428</v>
      </c>
      <c r="D3" s="32" t="s">
        <v>429</v>
      </c>
    </row>
    <row r="4" spans="1:7" ht="18.75" customHeight="1" x14ac:dyDescent="0.25">
      <c r="A4" s="33">
        <v>1</v>
      </c>
      <c r="B4" s="25" t="s">
        <v>430</v>
      </c>
      <c r="C4" s="22" t="s">
        <v>431</v>
      </c>
      <c r="D4" s="22" t="s">
        <v>32</v>
      </c>
    </row>
    <row r="5" spans="1:7" ht="18" customHeight="1" x14ac:dyDescent="0.25">
      <c r="A5" s="33">
        <v>2</v>
      </c>
      <c r="B5" s="25" t="s">
        <v>432</v>
      </c>
      <c r="C5" s="22" t="s">
        <v>433</v>
      </c>
      <c r="D5" s="22" t="s">
        <v>434</v>
      </c>
    </row>
    <row r="6" spans="1:7" ht="15" customHeight="1" x14ac:dyDescent="0.25">
      <c r="A6" s="33">
        <v>3</v>
      </c>
      <c r="B6" s="25" t="s">
        <v>435</v>
      </c>
      <c r="C6" s="22" t="s">
        <v>28</v>
      </c>
      <c r="D6" s="22" t="s">
        <v>436</v>
      </c>
    </row>
    <row r="7" spans="1:7" ht="18" customHeight="1" x14ac:dyDescent="0.25">
      <c r="A7" s="33">
        <v>4</v>
      </c>
      <c r="B7" s="25" t="s">
        <v>437</v>
      </c>
      <c r="C7" s="22" t="s">
        <v>21</v>
      </c>
      <c r="D7" s="22" t="s">
        <v>32</v>
      </c>
    </row>
    <row r="8" spans="1:7" ht="16.5" customHeight="1" x14ac:dyDescent="0.25">
      <c r="A8" s="33">
        <v>5</v>
      </c>
      <c r="B8" s="25" t="s">
        <v>438</v>
      </c>
      <c r="C8" s="22" t="s">
        <v>439</v>
      </c>
      <c r="D8" s="22" t="s">
        <v>29</v>
      </c>
    </row>
    <row r="9" spans="1:7" ht="15.75" x14ac:dyDescent="0.25">
      <c r="A9" s="33">
        <v>6</v>
      </c>
      <c r="B9" s="25" t="s">
        <v>440</v>
      </c>
      <c r="C9" s="22" t="s">
        <v>441</v>
      </c>
      <c r="D9" s="22" t="s">
        <v>32</v>
      </c>
    </row>
    <row r="10" spans="1:7" ht="30.75" x14ac:dyDescent="0.25">
      <c r="A10" s="33">
        <v>7</v>
      </c>
      <c r="B10" s="25" t="s">
        <v>442</v>
      </c>
      <c r="C10" s="22" t="s">
        <v>21</v>
      </c>
      <c r="D10" s="22" t="s">
        <v>32</v>
      </c>
    </row>
    <row r="11" spans="1:7" ht="30.75" x14ac:dyDescent="0.25">
      <c r="A11" s="33">
        <v>8</v>
      </c>
      <c r="B11" s="25" t="s">
        <v>443</v>
      </c>
      <c r="C11" s="22" t="s">
        <v>21</v>
      </c>
      <c r="D11" s="22" t="s">
        <v>32</v>
      </c>
    </row>
    <row r="12" spans="1:7" ht="15.75" x14ac:dyDescent="0.25">
      <c r="A12" s="33">
        <v>9</v>
      </c>
      <c r="B12" s="25" t="s">
        <v>444</v>
      </c>
      <c r="C12" s="22" t="s">
        <v>445</v>
      </c>
      <c r="D12" s="22" t="s">
        <v>436</v>
      </c>
    </row>
    <row r="13" spans="1:7" ht="15.75" x14ac:dyDescent="0.25">
      <c r="A13" s="33">
        <v>10</v>
      </c>
      <c r="B13" s="25" t="s">
        <v>446</v>
      </c>
      <c r="C13" s="22" t="s">
        <v>447</v>
      </c>
      <c r="D13" s="22" t="s">
        <v>32</v>
      </c>
    </row>
    <row r="14" spans="1:7" ht="15.75" x14ac:dyDescent="0.25">
      <c r="A14" s="33">
        <v>11</v>
      </c>
      <c r="B14" s="25" t="s">
        <v>448</v>
      </c>
      <c r="C14" s="22" t="s">
        <v>445</v>
      </c>
      <c r="D14" s="22" t="s">
        <v>32</v>
      </c>
    </row>
    <row r="15" spans="1:7" ht="15.75" x14ac:dyDescent="0.25">
      <c r="A15" s="33">
        <v>12</v>
      </c>
      <c r="B15" s="25" t="s">
        <v>449</v>
      </c>
      <c r="C15" s="22" t="s">
        <v>450</v>
      </c>
      <c r="D15" s="22" t="s">
        <v>436</v>
      </c>
    </row>
    <row r="16" spans="1:7" ht="15.75" x14ac:dyDescent="0.25">
      <c r="A16" s="33">
        <v>13</v>
      </c>
      <c r="B16" s="25" t="s">
        <v>432</v>
      </c>
      <c r="C16" s="22" t="s">
        <v>433</v>
      </c>
      <c r="D16" s="22" t="s">
        <v>434</v>
      </c>
    </row>
    <row r="17" spans="1:4" ht="15.75" x14ac:dyDescent="0.25">
      <c r="A17" s="33">
        <v>14</v>
      </c>
      <c r="B17" s="25" t="s">
        <v>451</v>
      </c>
      <c r="C17" s="22" t="s">
        <v>441</v>
      </c>
      <c r="D17" s="22" t="s">
        <v>434</v>
      </c>
    </row>
    <row r="18" spans="1:4" ht="15.75" x14ac:dyDescent="0.25">
      <c r="A18" s="33">
        <v>15</v>
      </c>
      <c r="B18" s="25" t="s">
        <v>452</v>
      </c>
      <c r="C18" s="22" t="s">
        <v>441</v>
      </c>
      <c r="D18" s="22" t="s">
        <v>29</v>
      </c>
    </row>
    <row r="19" spans="1:4" ht="15.75" x14ac:dyDescent="0.25">
      <c r="A19" s="33">
        <v>16</v>
      </c>
      <c r="B19" s="25" t="s">
        <v>453</v>
      </c>
      <c r="C19" s="22" t="s">
        <v>441</v>
      </c>
      <c r="D19" s="22" t="s">
        <v>29</v>
      </c>
    </row>
    <row r="20" spans="1:4" ht="15.75" x14ac:dyDescent="0.25">
      <c r="A20" s="33">
        <v>17</v>
      </c>
      <c r="B20" s="25" t="s">
        <v>454</v>
      </c>
      <c r="C20" s="22" t="s">
        <v>441</v>
      </c>
      <c r="D20" s="22" t="s">
        <v>29</v>
      </c>
    </row>
    <row r="21" spans="1:4" ht="15.75" x14ac:dyDescent="0.25">
      <c r="A21" s="33">
        <v>18</v>
      </c>
      <c r="B21" s="25" t="s">
        <v>455</v>
      </c>
      <c r="C21" s="22" t="s">
        <v>441</v>
      </c>
      <c r="D21" s="22" t="s">
        <v>29</v>
      </c>
    </row>
    <row r="22" spans="1:4" ht="15.75" x14ac:dyDescent="0.25">
      <c r="A22" s="33">
        <v>19</v>
      </c>
      <c r="B22" s="25" t="s">
        <v>456</v>
      </c>
      <c r="C22" s="22" t="s">
        <v>441</v>
      </c>
      <c r="D22" s="22" t="s">
        <v>29</v>
      </c>
    </row>
    <row r="23" spans="1:4" ht="15.75" x14ac:dyDescent="0.25">
      <c r="A23" s="33">
        <v>20</v>
      </c>
      <c r="B23" s="25" t="s">
        <v>457</v>
      </c>
      <c r="C23" s="22" t="s">
        <v>458</v>
      </c>
      <c r="D23" s="22" t="s">
        <v>29</v>
      </c>
    </row>
    <row r="24" spans="1:4" ht="15.75" x14ac:dyDescent="0.25">
      <c r="A24" s="33">
        <v>21</v>
      </c>
      <c r="B24" s="25" t="s">
        <v>459</v>
      </c>
      <c r="C24" s="22" t="s">
        <v>460</v>
      </c>
      <c r="D24" s="22" t="s">
        <v>436</v>
      </c>
    </row>
    <row r="25" spans="1:4" ht="15.75" x14ac:dyDescent="0.25">
      <c r="A25" s="33">
        <v>22</v>
      </c>
      <c r="B25" s="25" t="s">
        <v>435</v>
      </c>
      <c r="C25" s="22" t="s">
        <v>28</v>
      </c>
      <c r="D25" s="22" t="s">
        <v>436</v>
      </c>
    </row>
    <row r="26" spans="1:4" ht="15.75" x14ac:dyDescent="0.25">
      <c r="A26" s="33">
        <v>23</v>
      </c>
      <c r="B26" s="25" t="s">
        <v>461</v>
      </c>
      <c r="C26" s="22" t="s">
        <v>28</v>
      </c>
      <c r="D26" s="22" t="s">
        <v>434</v>
      </c>
    </row>
    <row r="27" spans="1:4" ht="15.75" x14ac:dyDescent="0.25">
      <c r="A27" s="33">
        <v>24</v>
      </c>
      <c r="B27" s="25" t="s">
        <v>462</v>
      </c>
      <c r="C27" s="22" t="s">
        <v>441</v>
      </c>
      <c r="D27" s="22" t="s">
        <v>29</v>
      </c>
    </row>
    <row r="28" spans="1:4" ht="15.75" x14ac:dyDescent="0.25">
      <c r="A28" s="33">
        <v>25</v>
      </c>
      <c r="B28" s="25" t="s">
        <v>463</v>
      </c>
      <c r="C28" s="22" t="s">
        <v>441</v>
      </c>
      <c r="D28" s="22" t="s">
        <v>29</v>
      </c>
    </row>
    <row r="29" spans="1:4" ht="15.75" x14ac:dyDescent="0.25">
      <c r="A29" s="33">
        <v>26</v>
      </c>
      <c r="B29" s="25" t="s">
        <v>464</v>
      </c>
      <c r="C29" s="22" t="s">
        <v>21</v>
      </c>
      <c r="D29" s="22" t="s">
        <v>32</v>
      </c>
    </row>
    <row r="30" spans="1:4" ht="15.75" x14ac:dyDescent="0.25">
      <c r="A30" s="33">
        <v>27</v>
      </c>
      <c r="B30" s="25" t="s">
        <v>465</v>
      </c>
      <c r="C30" s="22" t="s">
        <v>21</v>
      </c>
      <c r="D30" s="22" t="s">
        <v>32</v>
      </c>
    </row>
    <row r="31" spans="1:4" ht="15.75" x14ac:dyDescent="0.25">
      <c r="A31" s="33">
        <v>28</v>
      </c>
      <c r="B31" s="25" t="s">
        <v>466</v>
      </c>
      <c r="C31" s="22" t="s">
        <v>21</v>
      </c>
      <c r="D31" s="22" t="s">
        <v>32</v>
      </c>
    </row>
    <row r="32" spans="1:4" ht="15.75" x14ac:dyDescent="0.25">
      <c r="A32" s="33">
        <v>29</v>
      </c>
      <c r="B32" s="25" t="s">
        <v>467</v>
      </c>
      <c r="C32" s="22" t="s">
        <v>21</v>
      </c>
      <c r="D32" s="22" t="s">
        <v>32</v>
      </c>
    </row>
    <row r="33" spans="1:4" ht="15.75" x14ac:dyDescent="0.25">
      <c r="A33" s="33">
        <v>30</v>
      </c>
      <c r="B33" s="25" t="s">
        <v>468</v>
      </c>
      <c r="C33" s="22" t="s">
        <v>21</v>
      </c>
      <c r="D33" s="22" t="s">
        <v>23</v>
      </c>
    </row>
    <row r="34" spans="1:4" ht="15.75" x14ac:dyDescent="0.25">
      <c r="A34" s="33">
        <v>31</v>
      </c>
      <c r="B34" s="25" t="s">
        <v>469</v>
      </c>
      <c r="C34" s="22" t="s">
        <v>21</v>
      </c>
      <c r="D34" s="22" t="s">
        <v>32</v>
      </c>
    </row>
    <row r="35" spans="1:4" ht="15.75" x14ac:dyDescent="0.25">
      <c r="A35" s="33">
        <v>32</v>
      </c>
      <c r="B35" s="25" t="s">
        <v>470</v>
      </c>
      <c r="C35" s="22" t="s">
        <v>21</v>
      </c>
      <c r="D35" s="22" t="s">
        <v>32</v>
      </c>
    </row>
    <row r="36" spans="1:4" ht="15.75" x14ac:dyDescent="0.25">
      <c r="A36" s="33">
        <v>33</v>
      </c>
      <c r="B36" s="25" t="s">
        <v>471</v>
      </c>
      <c r="C36" s="22" t="s">
        <v>21</v>
      </c>
      <c r="D36" s="22" t="s">
        <v>23</v>
      </c>
    </row>
    <row r="37" spans="1:4" ht="15.75" x14ac:dyDescent="0.25">
      <c r="A37" s="33">
        <v>34</v>
      </c>
      <c r="B37" s="25" t="s">
        <v>472</v>
      </c>
      <c r="C37" s="22" t="s">
        <v>21</v>
      </c>
      <c r="D37" s="22" t="s">
        <v>32</v>
      </c>
    </row>
    <row r="38" spans="1:4" ht="15.75" x14ac:dyDescent="0.25">
      <c r="A38" s="33">
        <v>35</v>
      </c>
      <c r="B38" s="25" t="s">
        <v>473</v>
      </c>
      <c r="C38" s="22" t="s">
        <v>21</v>
      </c>
      <c r="D38" s="22" t="s">
        <v>436</v>
      </c>
    </row>
    <row r="39" spans="1:4" ht="30.75" x14ac:dyDescent="0.25">
      <c r="A39" s="33">
        <v>36</v>
      </c>
      <c r="B39" s="25" t="s">
        <v>474</v>
      </c>
      <c r="C39" s="22" t="s">
        <v>21</v>
      </c>
      <c r="D39" s="22" t="s">
        <v>29</v>
      </c>
    </row>
    <row r="40" spans="1:4" ht="30.75" x14ac:dyDescent="0.25">
      <c r="A40" s="33">
        <v>37</v>
      </c>
      <c r="B40" s="25" t="s">
        <v>475</v>
      </c>
      <c r="C40" s="22" t="s">
        <v>21</v>
      </c>
      <c r="D40" s="22" t="s">
        <v>32</v>
      </c>
    </row>
    <row r="41" spans="1:4" ht="15.75" x14ac:dyDescent="0.25">
      <c r="A41" s="33">
        <v>38</v>
      </c>
      <c r="B41" s="25" t="s">
        <v>476</v>
      </c>
      <c r="C41" s="22" t="s">
        <v>21</v>
      </c>
      <c r="D41" s="22" t="s">
        <v>32</v>
      </c>
    </row>
    <row r="42" spans="1:4" ht="15.75" x14ac:dyDescent="0.25">
      <c r="A42" s="33">
        <v>39</v>
      </c>
      <c r="B42" s="25" t="s">
        <v>477</v>
      </c>
      <c r="C42" s="22" t="s">
        <v>21</v>
      </c>
      <c r="D42" s="22" t="s">
        <v>32</v>
      </c>
    </row>
    <row r="43" spans="1:4" ht="15.75" x14ac:dyDescent="0.25">
      <c r="A43" s="33">
        <v>40</v>
      </c>
      <c r="B43" s="25" t="s">
        <v>478</v>
      </c>
      <c r="C43" s="22" t="s">
        <v>21</v>
      </c>
      <c r="D43" s="22" t="s">
        <v>436</v>
      </c>
    </row>
    <row r="44" spans="1:4" ht="12.75" customHeight="1" x14ac:dyDescent="0.25">
      <c r="A44" s="33">
        <v>41</v>
      </c>
      <c r="B44" s="25" t="s">
        <v>479</v>
      </c>
      <c r="C44" s="22" t="s">
        <v>480</v>
      </c>
      <c r="D44" s="22" t="s">
        <v>436</v>
      </c>
    </row>
    <row r="45" spans="1:4" ht="30.75" x14ac:dyDescent="0.25">
      <c r="A45" s="33">
        <v>42</v>
      </c>
      <c r="B45" s="25" t="s">
        <v>481</v>
      </c>
      <c r="C45" s="22" t="s">
        <v>480</v>
      </c>
      <c r="D45" s="22" t="s">
        <v>32</v>
      </c>
    </row>
    <row r="46" spans="1:4" ht="30.75" x14ac:dyDescent="0.25">
      <c r="A46" s="33">
        <v>43</v>
      </c>
      <c r="B46" s="25" t="s">
        <v>482</v>
      </c>
      <c r="C46" s="22" t="s">
        <v>480</v>
      </c>
      <c r="D46" s="22" t="s">
        <v>23</v>
      </c>
    </row>
    <row r="47" spans="1:4" ht="15.75" x14ac:dyDescent="0.25">
      <c r="A47" s="33">
        <v>44</v>
      </c>
      <c r="B47" s="25" t="s">
        <v>483</v>
      </c>
      <c r="C47" s="22" t="s">
        <v>480</v>
      </c>
      <c r="D47" s="22" t="s">
        <v>32</v>
      </c>
    </row>
    <row r="48" spans="1:4" ht="15.75" x14ac:dyDescent="0.25">
      <c r="A48" s="33">
        <v>45</v>
      </c>
      <c r="B48" s="25" t="s">
        <v>484</v>
      </c>
      <c r="C48" s="22" t="s">
        <v>480</v>
      </c>
      <c r="D48" s="22" t="s">
        <v>23</v>
      </c>
    </row>
    <row r="49" spans="1:4" ht="30.75" x14ac:dyDescent="0.25">
      <c r="A49" s="33">
        <v>46</v>
      </c>
      <c r="B49" s="25" t="s">
        <v>485</v>
      </c>
      <c r="C49" s="22" t="s">
        <v>21</v>
      </c>
      <c r="D49" s="22" t="s">
        <v>32</v>
      </c>
    </row>
    <row r="50" spans="1:4" ht="30.75" x14ac:dyDescent="0.25">
      <c r="A50" s="33">
        <v>47</v>
      </c>
      <c r="B50" s="25" t="s">
        <v>486</v>
      </c>
      <c r="C50" s="22" t="s">
        <v>21</v>
      </c>
      <c r="D50" s="22" t="s">
        <v>32</v>
      </c>
    </row>
    <row r="51" spans="1:4" ht="15.75" x14ac:dyDescent="0.25">
      <c r="A51" s="33">
        <v>48</v>
      </c>
      <c r="B51" s="25" t="s">
        <v>487</v>
      </c>
      <c r="C51" s="22" t="s">
        <v>21</v>
      </c>
      <c r="D51" s="22" t="s">
        <v>436</v>
      </c>
    </row>
    <row r="52" spans="1:4" ht="15.75" x14ac:dyDescent="0.25">
      <c r="A52" s="33">
        <v>49</v>
      </c>
      <c r="B52" s="25" t="s">
        <v>488</v>
      </c>
      <c r="C52" s="22" t="s">
        <v>21</v>
      </c>
      <c r="D52" s="22" t="s">
        <v>29</v>
      </c>
    </row>
    <row r="53" spans="1:4" ht="15.75" x14ac:dyDescent="0.25">
      <c r="A53" s="33">
        <v>50</v>
      </c>
      <c r="B53" s="25" t="s">
        <v>489</v>
      </c>
      <c r="C53" s="22" t="s">
        <v>21</v>
      </c>
      <c r="D53" s="22" t="s">
        <v>29</v>
      </c>
    </row>
    <row r="54" spans="1:4" ht="30.75" x14ac:dyDescent="0.25">
      <c r="A54" s="33">
        <v>51</v>
      </c>
      <c r="B54" s="25" t="s">
        <v>490</v>
      </c>
      <c r="C54" s="22" t="s">
        <v>431</v>
      </c>
      <c r="D54" s="22" t="s">
        <v>436</v>
      </c>
    </row>
    <row r="55" spans="1:4" ht="30.75" x14ac:dyDescent="0.25">
      <c r="A55" s="33">
        <v>52</v>
      </c>
      <c r="B55" s="25" t="s">
        <v>491</v>
      </c>
      <c r="C55" s="22" t="s">
        <v>21</v>
      </c>
      <c r="D55" s="22" t="s">
        <v>32</v>
      </c>
    </row>
    <row r="56" spans="1:4" ht="15.75" x14ac:dyDescent="0.25">
      <c r="A56" s="33">
        <v>53</v>
      </c>
      <c r="B56" s="25" t="s">
        <v>492</v>
      </c>
      <c r="C56" s="22" t="s">
        <v>21</v>
      </c>
      <c r="D56" s="22" t="s">
        <v>436</v>
      </c>
    </row>
    <row r="57" spans="1:4" ht="15.75" x14ac:dyDescent="0.25">
      <c r="A57" s="33">
        <v>54</v>
      </c>
      <c r="B57" s="25" t="s">
        <v>493</v>
      </c>
      <c r="C57" s="22" t="s">
        <v>21</v>
      </c>
      <c r="D57" s="22" t="s">
        <v>23</v>
      </c>
    </row>
    <row r="58" spans="1:4" ht="30.75" x14ac:dyDescent="0.25">
      <c r="A58" s="33">
        <v>55</v>
      </c>
      <c r="B58" s="25" t="s">
        <v>494</v>
      </c>
      <c r="C58" s="22" t="s">
        <v>21</v>
      </c>
      <c r="D58" s="22" t="s">
        <v>32</v>
      </c>
    </row>
    <row r="59" spans="1:4" ht="15.75" x14ac:dyDescent="0.25">
      <c r="A59" s="33">
        <v>56</v>
      </c>
      <c r="B59" s="25" t="s">
        <v>495</v>
      </c>
      <c r="C59" s="22" t="s">
        <v>21</v>
      </c>
      <c r="D59" s="22" t="s">
        <v>32</v>
      </c>
    </row>
    <row r="60" spans="1:4" ht="15.75" x14ac:dyDescent="0.25">
      <c r="A60" s="33">
        <v>57</v>
      </c>
      <c r="B60" s="25" t="s">
        <v>437</v>
      </c>
      <c r="C60" s="22" t="s">
        <v>21</v>
      </c>
      <c r="D60" s="22" t="s">
        <v>32</v>
      </c>
    </row>
    <row r="61" spans="1:4" ht="15.75" x14ac:dyDescent="0.25">
      <c r="A61" s="33">
        <v>58</v>
      </c>
      <c r="B61" s="25" t="s">
        <v>496</v>
      </c>
      <c r="C61" s="22" t="s">
        <v>21</v>
      </c>
      <c r="D61" s="22" t="s">
        <v>32</v>
      </c>
    </row>
    <row r="62" spans="1:4" ht="14.25" customHeight="1" x14ac:dyDescent="0.25">
      <c r="A62" s="33">
        <v>59</v>
      </c>
      <c r="B62" s="25" t="s">
        <v>497</v>
      </c>
      <c r="C62" s="22" t="s">
        <v>21</v>
      </c>
      <c r="D62" s="22" t="s">
        <v>32</v>
      </c>
    </row>
    <row r="63" spans="1:4" ht="15.75" x14ac:dyDescent="0.25">
      <c r="A63" s="33">
        <v>60</v>
      </c>
      <c r="B63" s="25" t="s">
        <v>498</v>
      </c>
      <c r="C63" s="22" t="s">
        <v>21</v>
      </c>
      <c r="D63" s="22" t="s">
        <v>436</v>
      </c>
    </row>
    <row r="64" spans="1:4" ht="15.75" x14ac:dyDescent="0.25">
      <c r="A64" s="33">
        <v>61</v>
      </c>
      <c r="B64" s="25" t="s">
        <v>499</v>
      </c>
      <c r="C64" s="22" t="s">
        <v>21</v>
      </c>
      <c r="D64" s="22" t="s">
        <v>23</v>
      </c>
    </row>
    <row r="65" spans="1:4" ht="15.75" x14ac:dyDescent="0.25">
      <c r="A65" s="33">
        <v>62</v>
      </c>
      <c r="B65" s="25" t="s">
        <v>500</v>
      </c>
      <c r="C65" s="22" t="s">
        <v>431</v>
      </c>
      <c r="D65" s="22" t="s">
        <v>436</v>
      </c>
    </row>
    <row r="66" spans="1:4" ht="30.75" x14ac:dyDescent="0.25">
      <c r="A66" s="33">
        <v>63</v>
      </c>
      <c r="B66" s="25" t="s">
        <v>501</v>
      </c>
      <c r="C66" s="22" t="s">
        <v>21</v>
      </c>
      <c r="D66" s="22" t="s">
        <v>436</v>
      </c>
    </row>
    <row r="67" spans="1:4" ht="15.75" x14ac:dyDescent="0.25">
      <c r="A67" s="33">
        <v>64</v>
      </c>
      <c r="B67" s="25" t="s">
        <v>502</v>
      </c>
      <c r="C67" s="22" t="s">
        <v>21</v>
      </c>
      <c r="D67" s="22" t="s">
        <v>23</v>
      </c>
    </row>
    <row r="68" spans="1:4" ht="30.75" x14ac:dyDescent="0.25">
      <c r="A68" s="33">
        <v>65</v>
      </c>
      <c r="B68" s="25" t="s">
        <v>503</v>
      </c>
      <c r="C68" s="22" t="s">
        <v>21</v>
      </c>
      <c r="D68" s="22" t="s">
        <v>32</v>
      </c>
    </row>
    <row r="69" spans="1:4" ht="15.75" x14ac:dyDescent="0.25">
      <c r="A69" s="33">
        <v>66</v>
      </c>
      <c r="B69" s="25" t="s">
        <v>504</v>
      </c>
      <c r="C69" s="22" t="s">
        <v>21</v>
      </c>
      <c r="D69" s="22" t="s">
        <v>32</v>
      </c>
    </row>
    <row r="70" spans="1:4" ht="12.75" customHeight="1" x14ac:dyDescent="0.25">
      <c r="A70" s="33">
        <v>67</v>
      </c>
      <c r="B70" s="25" t="s">
        <v>505</v>
      </c>
      <c r="C70" s="22" t="s">
        <v>480</v>
      </c>
      <c r="D70" s="22" t="s">
        <v>23</v>
      </c>
    </row>
    <row r="71" spans="1:4" ht="15.75" x14ac:dyDescent="0.25">
      <c r="A71" s="33">
        <v>68</v>
      </c>
      <c r="B71" s="25" t="s">
        <v>506</v>
      </c>
      <c r="C71" s="22" t="s">
        <v>21</v>
      </c>
      <c r="D71" s="22" t="s">
        <v>32</v>
      </c>
    </row>
    <row r="72" spans="1:4" ht="15.75" x14ac:dyDescent="0.25">
      <c r="A72" s="33">
        <v>69</v>
      </c>
      <c r="B72" s="25" t="s">
        <v>507</v>
      </c>
      <c r="C72" s="22" t="s">
        <v>21</v>
      </c>
      <c r="D72" s="22" t="s">
        <v>436</v>
      </c>
    </row>
    <row r="73" spans="1:4" ht="15.75" x14ac:dyDescent="0.25">
      <c r="A73" s="33">
        <v>70</v>
      </c>
      <c r="B73" s="25" t="s">
        <v>508</v>
      </c>
      <c r="C73" s="22" t="s">
        <v>21</v>
      </c>
      <c r="D73" s="22" t="s">
        <v>32</v>
      </c>
    </row>
    <row r="74" spans="1:4" ht="15.75" x14ac:dyDescent="0.25">
      <c r="A74" s="33">
        <v>71</v>
      </c>
      <c r="B74" s="25" t="s">
        <v>509</v>
      </c>
      <c r="C74" s="22" t="s">
        <v>21</v>
      </c>
      <c r="D74" s="22" t="s">
        <v>32</v>
      </c>
    </row>
    <row r="75" spans="1:4" ht="15.75" x14ac:dyDescent="0.25">
      <c r="A75" s="33">
        <v>72</v>
      </c>
      <c r="B75" s="25" t="s">
        <v>510</v>
      </c>
      <c r="C75" s="22" t="s">
        <v>21</v>
      </c>
      <c r="D75" s="22" t="s">
        <v>32</v>
      </c>
    </row>
    <row r="76" spans="1:4" ht="15.75" x14ac:dyDescent="0.25">
      <c r="A76" s="33">
        <v>73</v>
      </c>
      <c r="B76" s="25" t="s">
        <v>511</v>
      </c>
      <c r="C76" s="22" t="s">
        <v>21</v>
      </c>
      <c r="D76" s="22" t="s">
        <v>32</v>
      </c>
    </row>
    <row r="77" spans="1:4" ht="15.75" x14ac:dyDescent="0.25">
      <c r="A77" s="33">
        <v>74</v>
      </c>
      <c r="B77" s="25" t="s">
        <v>512</v>
      </c>
      <c r="C77" s="22" t="s">
        <v>21</v>
      </c>
      <c r="D77" s="22" t="s">
        <v>436</v>
      </c>
    </row>
    <row r="78" spans="1:4" ht="15.75" x14ac:dyDescent="0.25">
      <c r="A78" s="33">
        <v>75</v>
      </c>
      <c r="B78" s="25" t="s">
        <v>513</v>
      </c>
      <c r="C78" s="22" t="s">
        <v>21</v>
      </c>
      <c r="D78" s="22" t="s">
        <v>436</v>
      </c>
    </row>
    <row r="79" spans="1:4" ht="15.75" x14ac:dyDescent="0.25">
      <c r="A79" s="33">
        <v>76</v>
      </c>
      <c r="B79" s="25" t="s">
        <v>444</v>
      </c>
      <c r="C79" s="22" t="s">
        <v>21</v>
      </c>
      <c r="D79" s="22" t="s">
        <v>23</v>
      </c>
    </row>
    <row r="80" spans="1:4" ht="15.75" x14ac:dyDescent="0.25">
      <c r="A80" s="33">
        <v>77</v>
      </c>
      <c r="B80" s="25" t="s">
        <v>514</v>
      </c>
      <c r="C80" s="22" t="s">
        <v>21</v>
      </c>
      <c r="D80" s="22" t="s">
        <v>436</v>
      </c>
    </row>
    <row r="81" spans="1:4" ht="15.75" x14ac:dyDescent="0.25">
      <c r="A81" s="33">
        <v>78</v>
      </c>
      <c r="B81" s="25" t="s">
        <v>515</v>
      </c>
      <c r="C81" s="22" t="s">
        <v>21</v>
      </c>
      <c r="D81" s="22" t="s">
        <v>32</v>
      </c>
    </row>
    <row r="82" spans="1:4" ht="15.75" x14ac:dyDescent="0.25">
      <c r="A82" s="33">
        <v>79</v>
      </c>
      <c r="B82" s="25" t="s">
        <v>516</v>
      </c>
      <c r="C82" s="22" t="s">
        <v>21</v>
      </c>
      <c r="D82" s="22" t="s">
        <v>32</v>
      </c>
    </row>
    <row r="83" spans="1:4" ht="15.75" x14ac:dyDescent="0.25">
      <c r="A83" s="33">
        <v>80</v>
      </c>
      <c r="B83" s="25" t="s">
        <v>517</v>
      </c>
      <c r="C83" s="22" t="s">
        <v>21</v>
      </c>
      <c r="D83" s="22" t="s">
        <v>32</v>
      </c>
    </row>
    <row r="84" spans="1:4" ht="15.75" x14ac:dyDescent="0.25">
      <c r="A84" s="33">
        <v>81</v>
      </c>
      <c r="B84" s="25" t="s">
        <v>518</v>
      </c>
      <c r="C84" s="22" t="s">
        <v>21</v>
      </c>
      <c r="D84" s="22" t="s">
        <v>436</v>
      </c>
    </row>
    <row r="85" spans="1:4" ht="15.75" x14ac:dyDescent="0.25">
      <c r="A85" s="33">
        <v>82</v>
      </c>
      <c r="B85" s="25" t="s">
        <v>519</v>
      </c>
      <c r="C85" s="22" t="s">
        <v>431</v>
      </c>
      <c r="D85" s="22" t="s">
        <v>32</v>
      </c>
    </row>
    <row r="86" spans="1:4" ht="15.75" x14ac:dyDescent="0.25">
      <c r="A86" s="33">
        <v>83</v>
      </c>
      <c r="B86" s="25" t="s">
        <v>520</v>
      </c>
      <c r="C86" s="22" t="s">
        <v>21</v>
      </c>
      <c r="D86" s="22" t="s">
        <v>32</v>
      </c>
    </row>
    <row r="87" spans="1:4" ht="15.75" x14ac:dyDescent="0.25">
      <c r="A87" s="33">
        <v>84</v>
      </c>
      <c r="B87" s="25" t="s">
        <v>521</v>
      </c>
      <c r="C87" s="22" t="s">
        <v>431</v>
      </c>
      <c r="D87" s="22" t="s">
        <v>436</v>
      </c>
    </row>
    <row r="88" spans="1:4" ht="15.75" x14ac:dyDescent="0.25">
      <c r="A88" s="33">
        <v>85</v>
      </c>
      <c r="B88" s="25" t="s">
        <v>522</v>
      </c>
      <c r="C88" s="22" t="s">
        <v>21</v>
      </c>
      <c r="D88" s="22" t="s">
        <v>32</v>
      </c>
    </row>
    <row r="89" spans="1:4" ht="15.75" x14ac:dyDescent="0.25">
      <c r="A89" s="33">
        <v>86</v>
      </c>
      <c r="B89" s="25" t="s">
        <v>523</v>
      </c>
      <c r="C89" s="22" t="s">
        <v>480</v>
      </c>
      <c r="D89" s="22" t="s">
        <v>436</v>
      </c>
    </row>
    <row r="90" spans="1:4" ht="30.75" x14ac:dyDescent="0.25">
      <c r="A90" s="33">
        <v>87</v>
      </c>
      <c r="B90" s="25" t="s">
        <v>442</v>
      </c>
      <c r="C90" s="22" t="s">
        <v>21</v>
      </c>
      <c r="D90" s="22" t="s">
        <v>32</v>
      </c>
    </row>
    <row r="91" spans="1:4" ht="30.75" x14ac:dyDescent="0.25">
      <c r="A91" s="33">
        <v>88</v>
      </c>
      <c r="B91" s="25" t="s">
        <v>524</v>
      </c>
      <c r="C91" s="22" t="s">
        <v>21</v>
      </c>
      <c r="D91" s="22" t="s">
        <v>32</v>
      </c>
    </row>
    <row r="92" spans="1:4" ht="15.75" x14ac:dyDescent="0.25">
      <c r="A92" s="33">
        <v>89</v>
      </c>
      <c r="B92" s="25" t="s">
        <v>525</v>
      </c>
      <c r="C92" s="22" t="s">
        <v>21</v>
      </c>
      <c r="D92" s="22" t="s">
        <v>32</v>
      </c>
    </row>
    <row r="93" spans="1:4" ht="15.75" x14ac:dyDescent="0.25">
      <c r="A93" s="33">
        <v>90</v>
      </c>
      <c r="B93" s="25" t="s">
        <v>526</v>
      </c>
      <c r="C93" s="22" t="s">
        <v>21</v>
      </c>
      <c r="D93" s="22" t="s">
        <v>32</v>
      </c>
    </row>
    <row r="94" spans="1:4" ht="15.75" x14ac:dyDescent="0.25">
      <c r="A94" s="33">
        <v>91</v>
      </c>
      <c r="B94" s="25" t="s">
        <v>527</v>
      </c>
      <c r="C94" s="22" t="s">
        <v>21</v>
      </c>
      <c r="D94" s="22" t="s">
        <v>32</v>
      </c>
    </row>
    <row r="95" spans="1:4" ht="30.75" x14ac:dyDescent="0.25">
      <c r="A95" s="33">
        <v>92</v>
      </c>
      <c r="B95" s="25" t="s">
        <v>528</v>
      </c>
      <c r="C95" s="22" t="s">
        <v>21</v>
      </c>
      <c r="D95" s="22" t="s">
        <v>32</v>
      </c>
    </row>
    <row r="96" spans="1:4" ht="16.5" customHeight="1" x14ac:dyDescent="0.25">
      <c r="A96" s="33">
        <v>93</v>
      </c>
      <c r="B96" s="25" t="s">
        <v>529</v>
      </c>
      <c r="C96" s="22" t="s">
        <v>21</v>
      </c>
      <c r="D96" s="22" t="s">
        <v>32</v>
      </c>
    </row>
    <row r="97" spans="1:4" ht="15.75" x14ac:dyDescent="0.25">
      <c r="A97" s="33">
        <v>94</v>
      </c>
      <c r="B97" s="25" t="s">
        <v>530</v>
      </c>
      <c r="C97" s="22" t="s">
        <v>431</v>
      </c>
      <c r="D97" s="22" t="s">
        <v>436</v>
      </c>
    </row>
    <row r="98" spans="1:4" ht="30.75" x14ac:dyDescent="0.25">
      <c r="A98" s="33">
        <v>95</v>
      </c>
      <c r="B98" s="25" t="s">
        <v>531</v>
      </c>
      <c r="C98" s="22" t="s">
        <v>431</v>
      </c>
      <c r="D98" s="22" t="s">
        <v>436</v>
      </c>
    </row>
    <row r="99" spans="1:4" ht="15.75" x14ac:dyDescent="0.25">
      <c r="A99" s="33">
        <v>96</v>
      </c>
      <c r="B99" s="25" t="s">
        <v>532</v>
      </c>
      <c r="C99" s="22" t="s">
        <v>21</v>
      </c>
      <c r="D99" s="22" t="s">
        <v>32</v>
      </c>
    </row>
    <row r="100" spans="1:4" ht="30.75" x14ac:dyDescent="0.25">
      <c r="A100" s="33">
        <v>97</v>
      </c>
      <c r="B100" s="25" t="s">
        <v>443</v>
      </c>
      <c r="C100" s="22" t="s">
        <v>21</v>
      </c>
      <c r="D100" s="22" t="s">
        <v>32</v>
      </c>
    </row>
    <row r="101" spans="1:4" ht="15.75" x14ac:dyDescent="0.25">
      <c r="A101" s="33">
        <v>98</v>
      </c>
      <c r="B101" s="25" t="s">
        <v>533</v>
      </c>
      <c r="C101" s="22" t="s">
        <v>21</v>
      </c>
      <c r="D101" s="22" t="s">
        <v>32</v>
      </c>
    </row>
    <row r="102" spans="1:4" ht="15.75" x14ac:dyDescent="0.25">
      <c r="A102" s="33">
        <v>99</v>
      </c>
      <c r="B102" s="25" t="s">
        <v>440</v>
      </c>
      <c r="C102" s="22" t="s">
        <v>21</v>
      </c>
      <c r="D102" s="22" t="s">
        <v>32</v>
      </c>
    </row>
    <row r="103" spans="1:4" ht="15.75" x14ac:dyDescent="0.25">
      <c r="A103" s="33">
        <v>100</v>
      </c>
      <c r="B103" s="25" t="s">
        <v>534</v>
      </c>
      <c r="C103" s="22" t="s">
        <v>21</v>
      </c>
      <c r="D103" s="22" t="s">
        <v>32</v>
      </c>
    </row>
    <row r="104" spans="1:4" ht="30.75" x14ac:dyDescent="0.25">
      <c r="A104" s="33">
        <v>101</v>
      </c>
      <c r="B104" s="25" t="s">
        <v>535</v>
      </c>
      <c r="C104" s="22" t="s">
        <v>21</v>
      </c>
      <c r="D104" s="22" t="s">
        <v>436</v>
      </c>
    </row>
    <row r="105" spans="1:4" ht="15.75" x14ac:dyDescent="0.25">
      <c r="A105" s="33">
        <v>102</v>
      </c>
      <c r="B105" s="25" t="s">
        <v>536</v>
      </c>
      <c r="C105" s="22" t="s">
        <v>21</v>
      </c>
      <c r="D105" s="22" t="s">
        <v>32</v>
      </c>
    </row>
    <row r="106" spans="1:4" ht="15.75" x14ac:dyDescent="0.25">
      <c r="A106" s="33">
        <v>103</v>
      </c>
      <c r="B106" s="25" t="s">
        <v>537</v>
      </c>
      <c r="C106" s="22" t="s">
        <v>21</v>
      </c>
      <c r="D106" s="22" t="s">
        <v>32</v>
      </c>
    </row>
    <row r="107" spans="1:4" ht="15.75" x14ac:dyDescent="0.25">
      <c r="A107" s="33">
        <v>104</v>
      </c>
      <c r="B107" s="25" t="s">
        <v>538</v>
      </c>
      <c r="C107" s="22" t="s">
        <v>21</v>
      </c>
      <c r="D107" s="22" t="s">
        <v>32</v>
      </c>
    </row>
    <row r="108" spans="1:4" ht="30.75" x14ac:dyDescent="0.25">
      <c r="A108" s="33">
        <v>105</v>
      </c>
      <c r="B108" s="25" t="s">
        <v>539</v>
      </c>
      <c r="C108" s="22" t="s">
        <v>21</v>
      </c>
      <c r="D108" s="22" t="s">
        <v>23</v>
      </c>
    </row>
    <row r="109" spans="1:4" ht="30.75" x14ac:dyDescent="0.25">
      <c r="A109" s="33">
        <v>106</v>
      </c>
      <c r="B109" s="25" t="s">
        <v>540</v>
      </c>
      <c r="C109" s="22" t="s">
        <v>21</v>
      </c>
      <c r="D109" s="22" t="s">
        <v>29</v>
      </c>
    </row>
    <row r="110" spans="1:4" ht="30.75" x14ac:dyDescent="0.25">
      <c r="A110" s="33">
        <v>107</v>
      </c>
      <c r="B110" s="25" t="s">
        <v>541</v>
      </c>
      <c r="C110" s="22" t="s">
        <v>21</v>
      </c>
      <c r="D110" s="22" t="s">
        <v>23</v>
      </c>
    </row>
    <row r="111" spans="1:4" ht="30.75" x14ac:dyDescent="0.25">
      <c r="A111" s="33">
        <v>108</v>
      </c>
      <c r="B111" s="25" t="s">
        <v>542</v>
      </c>
      <c r="C111" s="22" t="s">
        <v>21</v>
      </c>
      <c r="D111" s="22" t="s">
        <v>32</v>
      </c>
    </row>
    <row r="112" spans="1:4" ht="30.75" x14ac:dyDescent="0.25">
      <c r="A112" s="33">
        <v>109</v>
      </c>
      <c r="B112" s="25" t="s">
        <v>543</v>
      </c>
      <c r="C112" s="22" t="s">
        <v>21</v>
      </c>
      <c r="D112" s="22" t="s">
        <v>32</v>
      </c>
    </row>
    <row r="113" spans="1:4" ht="15.75" x14ac:dyDescent="0.25">
      <c r="A113" s="34"/>
      <c r="B113" s="34"/>
      <c r="C113" s="34"/>
      <c r="D113" s="34" t="s">
        <v>434</v>
      </c>
    </row>
    <row r="114" spans="1:4" ht="15.75" x14ac:dyDescent="0.25">
      <c r="A114" s="34"/>
      <c r="B114" s="34"/>
      <c r="C114" s="34"/>
      <c r="D114" s="34"/>
    </row>
    <row r="115" spans="1:4" ht="15.75" x14ac:dyDescent="0.25">
      <c r="A115" s="93" t="s">
        <v>544</v>
      </c>
      <c r="B115" s="93"/>
      <c r="C115" s="34"/>
      <c r="D115" s="34"/>
    </row>
    <row r="116" spans="1:4" ht="15.75" x14ac:dyDescent="0.25">
      <c r="A116" s="8" t="s">
        <v>1</v>
      </c>
      <c r="B116" s="8" t="s">
        <v>42</v>
      </c>
      <c r="C116" s="34"/>
      <c r="D116" s="34"/>
    </row>
    <row r="117" spans="1:4" ht="77.25" customHeight="1" x14ac:dyDescent="0.25">
      <c r="A117" s="30" t="s">
        <v>698</v>
      </c>
      <c r="B117" s="30" t="s">
        <v>699</v>
      </c>
      <c r="C117" s="34"/>
      <c r="D117" s="34"/>
    </row>
    <row r="118" spans="1:4" ht="69.75" customHeight="1" x14ac:dyDescent="0.25">
      <c r="A118" s="30" t="s">
        <v>674</v>
      </c>
      <c r="B118" s="30" t="s">
        <v>675</v>
      </c>
      <c r="C118" s="34"/>
      <c r="D118" s="34"/>
    </row>
    <row r="119" spans="1:4" ht="98.25" customHeight="1" x14ac:dyDescent="0.25">
      <c r="A119" s="30" t="s">
        <v>676</v>
      </c>
      <c r="B119" s="30" t="s">
        <v>677</v>
      </c>
      <c r="C119" s="34"/>
      <c r="D119" s="34"/>
    </row>
    <row r="120" spans="1:4" ht="75" customHeight="1" x14ac:dyDescent="0.25">
      <c r="A120" s="30" t="s">
        <v>684</v>
      </c>
      <c r="B120" s="30" t="s">
        <v>685</v>
      </c>
      <c r="C120" s="34"/>
      <c r="D120" s="34"/>
    </row>
    <row r="121" spans="1:4" ht="108.75" customHeight="1" x14ac:dyDescent="0.25">
      <c r="A121" s="30" t="s">
        <v>678</v>
      </c>
      <c r="B121" s="30" t="s">
        <v>679</v>
      </c>
      <c r="C121" s="34"/>
      <c r="D121" s="34"/>
    </row>
    <row r="122" spans="1:4" ht="134.25" customHeight="1" x14ac:dyDescent="0.25">
      <c r="A122" s="30" t="s">
        <v>682</v>
      </c>
      <c r="B122" s="30" t="s">
        <v>683</v>
      </c>
      <c r="C122" s="34"/>
      <c r="D122" s="34"/>
    </row>
    <row r="123" spans="1:4" ht="45" x14ac:dyDescent="0.25">
      <c r="A123" s="30" t="s">
        <v>680</v>
      </c>
      <c r="B123" s="30" t="s">
        <v>681</v>
      </c>
      <c r="C123" s="34"/>
      <c r="D123" s="34"/>
    </row>
    <row r="124" spans="1:4" ht="68.25" customHeight="1" x14ac:dyDescent="0.25">
      <c r="A124" s="30" t="s">
        <v>686</v>
      </c>
      <c r="B124" s="30" t="s">
        <v>687</v>
      </c>
      <c r="C124" s="34"/>
      <c r="D124" s="34"/>
    </row>
    <row r="125" spans="1:4" ht="74.25" customHeight="1" x14ac:dyDescent="0.25">
      <c r="A125" s="30" t="s">
        <v>617</v>
      </c>
      <c r="B125" s="30" t="s">
        <v>618</v>
      </c>
      <c r="C125" s="34"/>
      <c r="D125" s="34"/>
    </row>
    <row r="126" spans="1:4" ht="90" x14ac:dyDescent="0.25">
      <c r="A126" s="30" t="s">
        <v>628</v>
      </c>
      <c r="B126" s="30" t="s">
        <v>629</v>
      </c>
      <c r="C126" s="34"/>
      <c r="D126" s="34"/>
    </row>
    <row r="127" spans="1:4" ht="90" customHeight="1" x14ac:dyDescent="0.25">
      <c r="A127" s="30" t="s">
        <v>619</v>
      </c>
      <c r="B127" s="30" t="s">
        <v>620</v>
      </c>
      <c r="C127" s="34"/>
      <c r="D127" s="34"/>
    </row>
    <row r="128" spans="1:4" ht="90" customHeight="1" x14ac:dyDescent="0.25">
      <c r="A128" s="30" t="s">
        <v>626</v>
      </c>
      <c r="B128" s="30" t="s">
        <v>627</v>
      </c>
      <c r="C128" s="34"/>
      <c r="D128" s="34"/>
    </row>
    <row r="129" spans="1:4" ht="75" customHeight="1" x14ac:dyDescent="0.25">
      <c r="A129" s="30" t="s">
        <v>624</v>
      </c>
      <c r="B129" s="30" t="s">
        <v>625</v>
      </c>
      <c r="C129" s="34"/>
      <c r="D129" s="34"/>
    </row>
    <row r="130" spans="1:4" ht="75" customHeight="1" x14ac:dyDescent="0.25">
      <c r="A130" s="30" t="s">
        <v>622</v>
      </c>
      <c r="B130" s="30" t="s">
        <v>623</v>
      </c>
      <c r="C130" s="34"/>
      <c r="D130" s="34"/>
    </row>
    <row r="131" spans="1:4" ht="60" x14ac:dyDescent="0.25">
      <c r="A131" s="30" t="s">
        <v>636</v>
      </c>
      <c r="B131" s="30" t="s">
        <v>637</v>
      </c>
      <c r="C131" s="34"/>
      <c r="D131" s="34"/>
    </row>
    <row r="132" spans="1:4" ht="75" x14ac:dyDescent="0.25">
      <c r="A132" s="30" t="s">
        <v>665</v>
      </c>
      <c r="B132" s="30" t="s">
        <v>666</v>
      </c>
      <c r="C132" s="34"/>
      <c r="D132" s="34"/>
    </row>
    <row r="133" spans="1:4" ht="120" customHeight="1" x14ac:dyDescent="0.25">
      <c r="A133" s="30" t="s">
        <v>634</v>
      </c>
      <c r="B133" s="30" t="s">
        <v>635</v>
      </c>
      <c r="C133" s="34"/>
      <c r="D133" s="34"/>
    </row>
    <row r="134" spans="1:4" ht="90" customHeight="1" x14ac:dyDescent="0.25">
      <c r="A134" s="30" t="s">
        <v>652</v>
      </c>
      <c r="B134" s="30" t="s">
        <v>653</v>
      </c>
      <c r="C134" s="34"/>
      <c r="D134" s="34"/>
    </row>
    <row r="135" spans="1:4" ht="90" customHeight="1" x14ac:dyDescent="0.25">
      <c r="A135" s="30" t="s">
        <v>630</v>
      </c>
      <c r="B135" s="30" t="s">
        <v>631</v>
      </c>
      <c r="C135" s="34"/>
      <c r="D135" s="34"/>
    </row>
    <row r="136" spans="1:4" ht="60" customHeight="1" x14ac:dyDescent="0.25">
      <c r="A136" s="30" t="s">
        <v>648</v>
      </c>
      <c r="B136" s="30" t="s">
        <v>649</v>
      </c>
      <c r="C136" s="34"/>
      <c r="D136" s="34"/>
    </row>
    <row r="137" spans="1:4" ht="60" customHeight="1" x14ac:dyDescent="0.25">
      <c r="A137" s="30" t="s">
        <v>650</v>
      </c>
      <c r="B137" s="30" t="s">
        <v>651</v>
      </c>
      <c r="C137" s="34"/>
      <c r="D137" s="34"/>
    </row>
    <row r="138" spans="1:4" ht="90" customHeight="1" x14ac:dyDescent="0.25">
      <c r="A138" s="30" t="s">
        <v>640</v>
      </c>
      <c r="B138" s="30" t="s">
        <v>641</v>
      </c>
      <c r="C138" s="34"/>
      <c r="D138" s="34"/>
    </row>
    <row r="139" spans="1:4" ht="75" customHeight="1" x14ac:dyDescent="0.25">
      <c r="A139" s="30" t="s">
        <v>30</v>
      </c>
      <c r="B139" s="30" t="s">
        <v>659</v>
      </c>
      <c r="C139" s="34"/>
      <c r="D139" s="34"/>
    </row>
    <row r="140" spans="1:4" ht="75" customHeight="1" x14ac:dyDescent="0.25">
      <c r="A140" s="30" t="s">
        <v>20</v>
      </c>
      <c r="B140" s="30" t="s">
        <v>656</v>
      </c>
      <c r="C140" s="34"/>
      <c r="D140" s="34"/>
    </row>
    <row r="141" spans="1:4" ht="45" customHeight="1" x14ac:dyDescent="0.25">
      <c r="A141" s="30" t="s">
        <v>663</v>
      </c>
      <c r="B141" s="30" t="s">
        <v>664</v>
      </c>
      <c r="C141" s="34"/>
      <c r="D141" s="34"/>
    </row>
    <row r="142" spans="1:4" ht="60" customHeight="1" x14ac:dyDescent="0.25">
      <c r="A142" s="30" t="s">
        <v>660</v>
      </c>
      <c r="B142" s="30" t="s">
        <v>661</v>
      </c>
      <c r="C142" s="34"/>
      <c r="D142" s="34"/>
    </row>
    <row r="143" spans="1:4" ht="75" x14ac:dyDescent="0.25">
      <c r="A143" s="30" t="s">
        <v>657</v>
      </c>
      <c r="B143" s="30" t="s">
        <v>658</v>
      </c>
      <c r="C143" s="34"/>
      <c r="D143" s="34"/>
    </row>
    <row r="144" spans="1:4" ht="75" customHeight="1" x14ac:dyDescent="0.25">
      <c r="A144" s="30" t="s">
        <v>654</v>
      </c>
      <c r="B144" s="30" t="s">
        <v>655</v>
      </c>
      <c r="C144" s="34"/>
      <c r="D144" s="34"/>
    </row>
    <row r="145" spans="1:4" ht="90" customHeight="1" x14ac:dyDescent="0.25">
      <c r="A145" s="30" t="s">
        <v>35</v>
      </c>
      <c r="B145" s="30" t="s">
        <v>662</v>
      </c>
      <c r="C145" s="34"/>
      <c r="D145" s="34"/>
    </row>
    <row r="146" spans="1:4" ht="60" x14ac:dyDescent="0.25">
      <c r="A146" s="30" t="s">
        <v>646</v>
      </c>
      <c r="B146" s="30" t="s">
        <v>647</v>
      </c>
      <c r="C146" s="34"/>
      <c r="D146" s="34"/>
    </row>
    <row r="147" spans="1:4" ht="45" x14ac:dyDescent="0.25">
      <c r="A147" s="30" t="s">
        <v>644</v>
      </c>
      <c r="B147" s="30" t="s">
        <v>645</v>
      </c>
      <c r="C147" s="34"/>
      <c r="D147" s="34"/>
    </row>
    <row r="148" spans="1:4" ht="75" customHeight="1" x14ac:dyDescent="0.25">
      <c r="A148" s="30" t="s">
        <v>638</v>
      </c>
      <c r="B148" s="30" t="s">
        <v>639</v>
      </c>
      <c r="C148" s="34"/>
      <c r="D148" s="34"/>
    </row>
    <row r="149" spans="1:4" ht="75" x14ac:dyDescent="0.25">
      <c r="A149" s="30" t="s">
        <v>667</v>
      </c>
      <c r="B149" s="30" t="s">
        <v>668</v>
      </c>
      <c r="C149" s="34"/>
      <c r="D149" s="34"/>
    </row>
    <row r="150" spans="1:4" ht="90" customHeight="1" x14ac:dyDescent="0.25">
      <c r="A150" s="30" t="s">
        <v>642</v>
      </c>
      <c r="B150" s="30" t="s">
        <v>643</v>
      </c>
      <c r="C150" s="34"/>
      <c r="D150" s="34"/>
    </row>
    <row r="151" spans="1:4" ht="30" x14ac:dyDescent="0.25">
      <c r="A151" s="30" t="s">
        <v>632</v>
      </c>
      <c r="B151" s="30" t="s">
        <v>633</v>
      </c>
      <c r="C151" s="34"/>
      <c r="D151" s="34"/>
    </row>
    <row r="152" spans="1:4" ht="105" customHeight="1" x14ac:dyDescent="0.25">
      <c r="A152" s="30" t="s">
        <v>708</v>
      </c>
      <c r="B152" s="30" t="s">
        <v>709</v>
      </c>
      <c r="C152" s="34"/>
      <c r="D152" s="34"/>
    </row>
    <row r="153" spans="1:4" ht="75" customHeight="1" x14ac:dyDescent="0.25">
      <c r="A153" s="30" t="s">
        <v>700</v>
      </c>
      <c r="B153" s="30" t="s">
        <v>701</v>
      </c>
      <c r="C153" s="34"/>
      <c r="D153" s="34"/>
    </row>
    <row r="154" spans="1:4" ht="90" x14ac:dyDescent="0.25">
      <c r="A154" s="30" t="s">
        <v>702</v>
      </c>
      <c r="B154" s="30" t="s">
        <v>703</v>
      </c>
      <c r="C154" s="34"/>
      <c r="D154" s="34"/>
    </row>
    <row r="155" spans="1:4" ht="75" x14ac:dyDescent="0.25">
      <c r="A155" s="30" t="s">
        <v>706</v>
      </c>
      <c r="B155" s="30" t="s">
        <v>707</v>
      </c>
      <c r="C155" s="34"/>
      <c r="D155" s="34"/>
    </row>
    <row r="156" spans="1:4" ht="90" customHeight="1" x14ac:dyDescent="0.25">
      <c r="A156" s="30" t="s">
        <v>704</v>
      </c>
      <c r="B156" s="30" t="s">
        <v>705</v>
      </c>
      <c r="C156" s="34"/>
      <c r="D156" s="34"/>
    </row>
    <row r="157" spans="1:4" ht="75" x14ac:dyDescent="0.25">
      <c r="A157" s="30" t="s">
        <v>710</v>
      </c>
      <c r="B157" s="30" t="s">
        <v>711</v>
      </c>
      <c r="C157" s="34"/>
      <c r="D157" s="34"/>
    </row>
    <row r="158" spans="1:4" ht="75" customHeight="1" x14ac:dyDescent="0.25">
      <c r="A158" s="30" t="s">
        <v>559</v>
      </c>
      <c r="B158" s="30" t="s">
        <v>560</v>
      </c>
      <c r="C158" s="34"/>
      <c r="D158" s="34"/>
    </row>
    <row r="159" spans="1:4" ht="90" customHeight="1" x14ac:dyDescent="0.25">
      <c r="A159" s="30" t="s">
        <v>563</v>
      </c>
      <c r="B159" s="30" t="s">
        <v>564</v>
      </c>
      <c r="C159" s="34"/>
      <c r="D159" s="34"/>
    </row>
    <row r="160" spans="1:4" ht="75" x14ac:dyDescent="0.25">
      <c r="A160" s="30" t="s">
        <v>555</v>
      </c>
      <c r="B160" s="30" t="s">
        <v>556</v>
      </c>
      <c r="C160" s="34"/>
      <c r="D160" s="34"/>
    </row>
    <row r="161" spans="1:4" ht="120" customHeight="1" x14ac:dyDescent="0.25">
      <c r="A161" s="30" t="s">
        <v>557</v>
      </c>
      <c r="B161" s="30" t="s">
        <v>558</v>
      </c>
      <c r="C161" s="34"/>
      <c r="D161" s="34"/>
    </row>
    <row r="162" spans="1:4" ht="75" x14ac:dyDescent="0.25">
      <c r="A162" s="30" t="s">
        <v>565</v>
      </c>
      <c r="B162" s="30" t="s">
        <v>566</v>
      </c>
      <c r="C162" s="34"/>
      <c r="D162" s="34"/>
    </row>
    <row r="163" spans="1:4" ht="30" x14ac:dyDescent="0.25">
      <c r="A163" s="30" t="s">
        <v>561</v>
      </c>
      <c r="B163" s="30" t="s">
        <v>562</v>
      </c>
      <c r="C163" s="34"/>
      <c r="D163" s="34"/>
    </row>
    <row r="164" spans="1:4" ht="60" customHeight="1" x14ac:dyDescent="0.25">
      <c r="A164" s="30" t="s">
        <v>567</v>
      </c>
      <c r="B164" s="30" t="s">
        <v>568</v>
      </c>
      <c r="C164" s="34"/>
      <c r="D164" s="34"/>
    </row>
    <row r="165" spans="1:4" ht="75" customHeight="1" x14ac:dyDescent="0.25">
      <c r="A165" s="30" t="s">
        <v>573</v>
      </c>
      <c r="B165" s="30" t="s">
        <v>574</v>
      </c>
      <c r="C165" s="34"/>
      <c r="D165" s="34"/>
    </row>
    <row r="166" spans="1:4" ht="77.25" customHeight="1" x14ac:dyDescent="0.25">
      <c r="A166" s="30" t="s">
        <v>569</v>
      </c>
      <c r="B166" s="30" t="s">
        <v>570</v>
      </c>
      <c r="C166" s="34"/>
      <c r="D166" s="34"/>
    </row>
    <row r="167" spans="1:4" ht="45" customHeight="1" x14ac:dyDescent="0.25">
      <c r="A167" s="30" t="s">
        <v>571</v>
      </c>
      <c r="B167" s="30" t="s">
        <v>572</v>
      </c>
      <c r="C167" s="34"/>
      <c r="D167" s="34"/>
    </row>
    <row r="168" spans="1:4" ht="45" customHeight="1" x14ac:dyDescent="0.25">
      <c r="A168" s="30" t="s">
        <v>613</v>
      </c>
      <c r="B168" s="30" t="s">
        <v>614</v>
      </c>
      <c r="C168" s="34"/>
      <c r="D168" s="34"/>
    </row>
    <row r="169" spans="1:4" ht="60" customHeight="1" x14ac:dyDescent="0.25">
      <c r="A169" s="30" t="s">
        <v>604</v>
      </c>
      <c r="B169" s="30" t="s">
        <v>605</v>
      </c>
      <c r="C169" s="34"/>
      <c r="D169" s="34"/>
    </row>
    <row r="170" spans="1:4" ht="90" customHeight="1" x14ac:dyDescent="0.25">
      <c r="A170" s="30" t="s">
        <v>602</v>
      </c>
      <c r="B170" s="30" t="s">
        <v>603</v>
      </c>
      <c r="C170" s="34"/>
      <c r="D170" s="34"/>
    </row>
    <row r="171" spans="1:4" ht="60" customHeight="1" x14ac:dyDescent="0.25">
      <c r="A171" s="30" t="s">
        <v>596</v>
      </c>
      <c r="B171" s="30" t="s">
        <v>597</v>
      </c>
      <c r="C171" s="34"/>
      <c r="D171" s="34"/>
    </row>
    <row r="172" spans="1:4" ht="60" customHeight="1" x14ac:dyDescent="0.25">
      <c r="A172" s="30" t="s">
        <v>598</v>
      </c>
      <c r="B172" s="30" t="s">
        <v>599</v>
      </c>
      <c r="C172" s="34"/>
      <c r="D172" s="34"/>
    </row>
    <row r="173" spans="1:4" ht="60" customHeight="1" x14ac:dyDescent="0.25">
      <c r="A173" s="30" t="s">
        <v>606</v>
      </c>
      <c r="B173" s="30" t="s">
        <v>607</v>
      </c>
      <c r="C173" s="34"/>
      <c r="D173" s="34"/>
    </row>
    <row r="174" spans="1:4" ht="45" customHeight="1" x14ac:dyDescent="0.25">
      <c r="A174" s="30" t="s">
        <v>600</v>
      </c>
      <c r="B174" s="30" t="s">
        <v>601</v>
      </c>
      <c r="C174" s="34"/>
      <c r="D174" s="34"/>
    </row>
    <row r="175" spans="1:4" ht="75" x14ac:dyDescent="0.25">
      <c r="A175" s="30" t="s">
        <v>611</v>
      </c>
      <c r="B175" s="30" t="s">
        <v>612</v>
      </c>
      <c r="C175" s="34"/>
      <c r="D175" s="34"/>
    </row>
    <row r="176" spans="1:4" ht="45" x14ac:dyDescent="0.25">
      <c r="A176" s="30" t="s">
        <v>608</v>
      </c>
      <c r="B176" s="30" t="s">
        <v>609</v>
      </c>
      <c r="C176" s="34"/>
      <c r="D176" s="34"/>
    </row>
    <row r="177" spans="1:4" ht="60" x14ac:dyDescent="0.25">
      <c r="A177" s="30" t="s">
        <v>33</v>
      </c>
      <c r="B177" s="30" t="s">
        <v>610</v>
      </c>
      <c r="C177" s="34"/>
      <c r="D177" s="34"/>
    </row>
    <row r="178" spans="1:4" ht="75" customHeight="1" x14ac:dyDescent="0.25">
      <c r="A178" s="30" t="s">
        <v>549</v>
      </c>
      <c r="B178" s="30" t="s">
        <v>550</v>
      </c>
      <c r="C178" s="34"/>
      <c r="D178" s="34"/>
    </row>
    <row r="179" spans="1:4" ht="60" customHeight="1" x14ac:dyDescent="0.25">
      <c r="A179" s="30" t="s">
        <v>581</v>
      </c>
      <c r="B179" s="30" t="s">
        <v>582</v>
      </c>
      <c r="C179" s="34"/>
      <c r="D179" s="34"/>
    </row>
    <row r="180" spans="1:4" ht="60" customHeight="1" x14ac:dyDescent="0.25">
      <c r="A180" s="30" t="s">
        <v>589</v>
      </c>
      <c r="B180" s="30" t="s">
        <v>590</v>
      </c>
      <c r="C180" s="34"/>
      <c r="D180" s="34"/>
    </row>
    <row r="181" spans="1:4" ht="90" x14ac:dyDescent="0.25">
      <c r="A181" s="30" t="s">
        <v>579</v>
      </c>
      <c r="B181" s="30" t="s">
        <v>580</v>
      </c>
      <c r="C181" s="34"/>
      <c r="D181" s="34"/>
    </row>
    <row r="182" spans="1:4" ht="90" customHeight="1" x14ac:dyDescent="0.25">
      <c r="A182" s="30" t="s">
        <v>591</v>
      </c>
      <c r="B182" s="30" t="s">
        <v>592</v>
      </c>
      <c r="C182" s="34"/>
      <c r="D182" s="34"/>
    </row>
    <row r="183" spans="1:4" ht="60" customHeight="1" x14ac:dyDescent="0.25">
      <c r="A183" s="30" t="s">
        <v>593</v>
      </c>
      <c r="B183" s="30" t="s">
        <v>594</v>
      </c>
      <c r="C183" s="34"/>
      <c r="D183" s="34"/>
    </row>
    <row r="184" spans="1:4" ht="45" x14ac:dyDescent="0.25">
      <c r="A184" s="30" t="s">
        <v>583</v>
      </c>
      <c r="B184" s="30" t="s">
        <v>584</v>
      </c>
      <c r="C184" s="34"/>
      <c r="D184" s="34"/>
    </row>
    <row r="185" spans="1:4" ht="45" customHeight="1" x14ac:dyDescent="0.25">
      <c r="A185" s="30" t="s">
        <v>577</v>
      </c>
      <c r="B185" s="30" t="s">
        <v>578</v>
      </c>
      <c r="C185" s="34"/>
      <c r="D185" s="34"/>
    </row>
    <row r="186" spans="1:4" ht="60" customHeight="1" x14ac:dyDescent="0.25">
      <c r="A186" s="30" t="s">
        <v>575</v>
      </c>
      <c r="B186" s="30" t="s">
        <v>576</v>
      </c>
      <c r="C186" s="34"/>
      <c r="D186" s="34"/>
    </row>
    <row r="187" spans="1:4" ht="90" customHeight="1" x14ac:dyDescent="0.25">
      <c r="A187" s="30" t="s">
        <v>585</v>
      </c>
      <c r="B187" s="30" t="s">
        <v>586</v>
      </c>
      <c r="C187" s="34"/>
      <c r="D187" s="34"/>
    </row>
    <row r="188" spans="1:4" ht="120" customHeight="1" x14ac:dyDescent="0.25">
      <c r="A188" s="30" t="s">
        <v>587</v>
      </c>
      <c r="B188" s="30" t="s">
        <v>588</v>
      </c>
      <c r="C188" s="34"/>
      <c r="D188" s="34"/>
    </row>
    <row r="189" spans="1:4" ht="60" customHeight="1" x14ac:dyDescent="0.25">
      <c r="A189" s="30" t="s">
        <v>696</v>
      </c>
      <c r="B189" s="30" t="s">
        <v>697</v>
      </c>
      <c r="C189" s="34"/>
      <c r="D189" s="34"/>
    </row>
    <row r="190" spans="1:4" ht="90" customHeight="1" x14ac:dyDescent="0.25">
      <c r="A190" s="30" t="s">
        <v>688</v>
      </c>
      <c r="B190" s="30" t="s">
        <v>689</v>
      </c>
      <c r="C190" s="34"/>
      <c r="D190" s="34"/>
    </row>
    <row r="191" spans="1:4" ht="75" customHeight="1" x14ac:dyDescent="0.25">
      <c r="A191" s="30" t="s">
        <v>694</v>
      </c>
      <c r="B191" s="30" t="s">
        <v>695</v>
      </c>
      <c r="C191" s="34"/>
      <c r="D191" s="34"/>
    </row>
    <row r="192" spans="1:4" ht="60" x14ac:dyDescent="0.25">
      <c r="A192" s="30" t="s">
        <v>692</v>
      </c>
      <c r="B192" s="30" t="s">
        <v>693</v>
      </c>
      <c r="C192" s="34"/>
      <c r="D192" s="34"/>
    </row>
    <row r="193" spans="1:4" ht="75" customHeight="1" x14ac:dyDescent="0.25">
      <c r="A193" s="30" t="s">
        <v>669</v>
      </c>
      <c r="B193" s="30" t="s">
        <v>670</v>
      </c>
      <c r="C193" s="34"/>
      <c r="D193" s="34"/>
    </row>
    <row r="194" spans="1:4" ht="45" x14ac:dyDescent="0.25">
      <c r="A194" s="30" t="s">
        <v>672</v>
      </c>
      <c r="B194" s="30" t="s">
        <v>673</v>
      </c>
      <c r="C194" s="34"/>
      <c r="D194" s="34"/>
    </row>
    <row r="195" spans="1:4" ht="90" customHeight="1" x14ac:dyDescent="0.25">
      <c r="A195" s="30" t="s">
        <v>690</v>
      </c>
      <c r="B195" s="30" t="s">
        <v>691</v>
      </c>
      <c r="C195" s="34"/>
      <c r="D195" s="34"/>
    </row>
    <row r="196" spans="1:4" ht="105" customHeight="1" x14ac:dyDescent="0.25">
      <c r="A196" s="30" t="s">
        <v>553</v>
      </c>
      <c r="B196" s="30" t="s">
        <v>554</v>
      </c>
      <c r="C196" s="34"/>
      <c r="D196" s="34"/>
    </row>
    <row r="197" spans="1:4" ht="45" x14ac:dyDescent="0.25">
      <c r="A197" s="30" t="s">
        <v>547</v>
      </c>
      <c r="B197" s="30" t="s">
        <v>548</v>
      </c>
      <c r="C197" s="34"/>
      <c r="D197" s="34"/>
    </row>
    <row r="198" spans="1:4" ht="45" customHeight="1" x14ac:dyDescent="0.25">
      <c r="A198" s="30" t="s">
        <v>545</v>
      </c>
      <c r="B198" s="30" t="s">
        <v>546</v>
      </c>
      <c r="C198" s="34"/>
      <c r="D198" s="34"/>
    </row>
    <row r="199" spans="1:4" ht="60" customHeight="1" x14ac:dyDescent="0.25">
      <c r="A199" s="30" t="s">
        <v>551</v>
      </c>
      <c r="B199" s="30" t="s">
        <v>552</v>
      </c>
      <c r="C199" s="34"/>
      <c r="D199" s="34"/>
    </row>
    <row r="200" spans="1:4" ht="120" customHeight="1" x14ac:dyDescent="0.25">
      <c r="A200" s="30" t="s">
        <v>615</v>
      </c>
      <c r="B200" s="30" t="s">
        <v>616</v>
      </c>
      <c r="C200" s="34"/>
      <c r="D200" s="34"/>
    </row>
    <row r="201" spans="1:4" ht="120" customHeight="1" x14ac:dyDescent="0.25">
      <c r="A201" s="30" t="s">
        <v>955</v>
      </c>
      <c r="B201" s="30" t="s">
        <v>956</v>
      </c>
      <c r="C201" s="34"/>
      <c r="D201" s="34"/>
    </row>
    <row r="202" spans="1:4" ht="105" customHeight="1" x14ac:dyDescent="0.25">
      <c r="A202" s="30"/>
      <c r="B202" s="30" t="s">
        <v>595</v>
      </c>
      <c r="C202" s="34"/>
      <c r="D202" s="34"/>
    </row>
    <row r="203" spans="1:4" ht="120" customHeight="1" x14ac:dyDescent="0.25">
      <c r="A203" s="30" t="s">
        <v>958</v>
      </c>
      <c r="B203" s="30" t="s">
        <v>959</v>
      </c>
      <c r="C203" s="34"/>
      <c r="D203" s="34"/>
    </row>
    <row r="204" spans="1:4" ht="105" customHeight="1" x14ac:dyDescent="0.25">
      <c r="A204" s="30" t="s">
        <v>963</v>
      </c>
      <c r="B204" s="30" t="s">
        <v>964</v>
      </c>
      <c r="C204" s="34"/>
      <c r="D204" s="34"/>
    </row>
    <row r="205" spans="1:4" ht="60" x14ac:dyDescent="0.25">
      <c r="A205" s="30"/>
      <c r="B205" s="30" t="s">
        <v>961</v>
      </c>
      <c r="C205" s="34"/>
      <c r="D205" s="34"/>
    </row>
    <row r="206" spans="1:4" ht="30" x14ac:dyDescent="0.25">
      <c r="A206" s="30" t="s">
        <v>960</v>
      </c>
      <c r="B206" s="30"/>
      <c r="C206" s="34"/>
      <c r="D206" s="34"/>
    </row>
    <row r="207" spans="1:4" ht="45" x14ac:dyDescent="0.25">
      <c r="A207" s="72"/>
      <c r="B207" s="30" t="s">
        <v>957</v>
      </c>
      <c r="C207" s="34"/>
      <c r="D207" s="34"/>
    </row>
    <row r="208" spans="1:4" ht="30" x14ac:dyDescent="0.25">
      <c r="A208" s="30"/>
      <c r="B208" s="30" t="s">
        <v>621</v>
      </c>
      <c r="C208" s="34"/>
      <c r="D208" s="34"/>
    </row>
    <row r="209" spans="1:4" ht="30" x14ac:dyDescent="0.25">
      <c r="A209" s="30"/>
      <c r="B209" s="30" t="s">
        <v>671</v>
      </c>
      <c r="C209" s="34"/>
      <c r="D209" s="34"/>
    </row>
    <row r="210" spans="1:4" ht="15.75" x14ac:dyDescent="0.25">
      <c r="A210" s="34"/>
      <c r="B210" s="34"/>
      <c r="C210" s="34"/>
      <c r="D210" s="34"/>
    </row>
    <row r="211" spans="1:4" ht="15.75" x14ac:dyDescent="0.25">
      <c r="A211" s="92" t="s">
        <v>712</v>
      </c>
      <c r="B211" s="92"/>
      <c r="C211" s="34"/>
      <c r="D211" s="34"/>
    </row>
    <row r="212" spans="1:4" ht="15.75" x14ac:dyDescent="0.25">
      <c r="A212" s="36" t="s">
        <v>713</v>
      </c>
      <c r="B212" s="36" t="s">
        <v>42</v>
      </c>
      <c r="C212" s="34"/>
      <c r="D212" s="34"/>
    </row>
    <row r="213" spans="1:4" ht="75.75" x14ac:dyDescent="0.25">
      <c r="A213" s="30" t="s">
        <v>714</v>
      </c>
      <c r="B213" s="25" t="s">
        <v>715</v>
      </c>
      <c r="C213" s="34"/>
      <c r="D213" s="34"/>
    </row>
    <row r="214" spans="1:4" ht="60" x14ac:dyDescent="0.25">
      <c r="A214" s="30" t="s">
        <v>716</v>
      </c>
      <c r="B214" s="37" t="s">
        <v>717</v>
      </c>
      <c r="C214" s="34"/>
      <c r="D214" s="34"/>
    </row>
    <row r="215" spans="1:4" ht="30.75" x14ac:dyDescent="0.25">
      <c r="A215" s="30" t="s">
        <v>27</v>
      </c>
      <c r="B215" s="25" t="s">
        <v>718</v>
      </c>
      <c r="C215" s="34"/>
      <c r="D215" s="34"/>
    </row>
    <row r="216" spans="1:4" ht="30" x14ac:dyDescent="0.25">
      <c r="A216" s="30" t="s">
        <v>719</v>
      </c>
      <c r="B216" s="25" t="s">
        <v>720</v>
      </c>
      <c r="C216" s="34"/>
      <c r="D216" s="34"/>
    </row>
    <row r="217" spans="1:4" ht="15.75" x14ac:dyDescent="0.25">
      <c r="A217" s="30" t="s">
        <v>721</v>
      </c>
      <c r="B217" s="25" t="s">
        <v>722</v>
      </c>
      <c r="C217" s="34"/>
      <c r="D217" s="34"/>
    </row>
    <row r="218" spans="1:4" ht="30.75" x14ac:dyDescent="0.25">
      <c r="A218" s="30" t="s">
        <v>723</v>
      </c>
      <c r="B218" s="25" t="s">
        <v>724</v>
      </c>
      <c r="C218" s="34"/>
      <c r="D218" s="34"/>
    </row>
    <row r="219" spans="1:4" ht="30.75" x14ac:dyDescent="0.25">
      <c r="A219" s="30" t="s">
        <v>726</v>
      </c>
      <c r="B219" s="25" t="s">
        <v>727</v>
      </c>
      <c r="C219" s="34"/>
      <c r="D219" s="34"/>
    </row>
    <row r="220" spans="1:4" ht="30.75" x14ac:dyDescent="0.25">
      <c r="A220" s="30" t="s">
        <v>728</v>
      </c>
      <c r="B220" s="25" t="s">
        <v>729</v>
      </c>
      <c r="C220" s="34"/>
      <c r="D220" s="34"/>
    </row>
    <row r="221" spans="1:4" ht="30.75" x14ac:dyDescent="0.25">
      <c r="A221" s="30" t="s">
        <v>730</v>
      </c>
      <c r="B221" s="25" t="s">
        <v>731</v>
      </c>
      <c r="C221" s="34"/>
      <c r="D221" s="34"/>
    </row>
    <row r="222" spans="1:4" ht="15.75" x14ac:dyDescent="0.25">
      <c r="A222" s="30" t="s">
        <v>725</v>
      </c>
      <c r="B222" s="25"/>
      <c r="C222" s="34"/>
      <c r="D222" s="34"/>
    </row>
    <row r="223" spans="1:4" ht="30.75" x14ac:dyDescent="0.25">
      <c r="A223" s="30" t="s">
        <v>732</v>
      </c>
      <c r="B223" s="25" t="s">
        <v>733</v>
      </c>
      <c r="C223" s="34"/>
      <c r="D223" s="34"/>
    </row>
    <row r="224" spans="1:4" ht="30.75" x14ac:dyDescent="0.25">
      <c r="A224" s="30" t="s">
        <v>734</v>
      </c>
      <c r="B224" s="25" t="s">
        <v>735</v>
      </c>
      <c r="C224" s="34"/>
      <c r="D224" s="34"/>
    </row>
    <row r="225" spans="1:4" ht="30.75" x14ac:dyDescent="0.25">
      <c r="A225" s="30" t="s">
        <v>736</v>
      </c>
      <c r="B225" s="25" t="s">
        <v>737</v>
      </c>
      <c r="C225" s="34"/>
      <c r="D225" s="34"/>
    </row>
    <row r="226" spans="1:4" ht="15.75" x14ac:dyDescent="0.25">
      <c r="A226" s="30" t="s">
        <v>738</v>
      </c>
      <c r="B226" s="25" t="s">
        <v>739</v>
      </c>
      <c r="C226" s="34"/>
      <c r="D226" s="34"/>
    </row>
    <row r="227" spans="1:4" ht="45.75" x14ac:dyDescent="0.25">
      <c r="A227" s="30" t="s">
        <v>740</v>
      </c>
      <c r="B227" s="25" t="s">
        <v>741</v>
      </c>
      <c r="C227" s="34"/>
      <c r="D227" s="34"/>
    </row>
    <row r="228" spans="1:4" ht="15.75" x14ac:dyDescent="0.25">
      <c r="A228" s="30" t="s">
        <v>742</v>
      </c>
      <c r="B228" s="25" t="s">
        <v>743</v>
      </c>
      <c r="C228" s="34"/>
      <c r="D228" s="34"/>
    </row>
    <row r="229" spans="1:4" ht="30.75" x14ac:dyDescent="0.25">
      <c r="A229" s="30" t="s">
        <v>744</v>
      </c>
      <c r="B229" s="25" t="s">
        <v>745</v>
      </c>
      <c r="C229" s="34"/>
      <c r="D229" s="34"/>
    </row>
    <row r="230" spans="1:4" ht="30.75" x14ac:dyDescent="0.25">
      <c r="A230" s="30" t="s">
        <v>746</v>
      </c>
      <c r="B230" s="25" t="s">
        <v>747</v>
      </c>
      <c r="C230" s="34"/>
      <c r="D230" s="34"/>
    </row>
    <row r="231" spans="1:4" ht="45.75" x14ac:dyDescent="0.25">
      <c r="A231" s="30" t="s">
        <v>748</v>
      </c>
      <c r="B231" s="25" t="s">
        <v>749</v>
      </c>
      <c r="C231" s="34"/>
      <c r="D231" s="34"/>
    </row>
    <row r="232" spans="1:4" ht="15.75" x14ac:dyDescent="0.25">
      <c r="A232" s="34"/>
      <c r="B232" s="34"/>
      <c r="C232" s="34"/>
      <c r="D232" s="34"/>
    </row>
    <row r="233" spans="1:4" ht="15.75" x14ac:dyDescent="0.25">
      <c r="A233" s="34"/>
      <c r="B233" s="34"/>
      <c r="C233" s="34"/>
      <c r="D233" s="34"/>
    </row>
    <row r="234" spans="1:4" ht="15.75" x14ac:dyDescent="0.25">
      <c r="A234" s="34"/>
      <c r="B234" s="34"/>
      <c r="C234" s="34"/>
      <c r="D234" s="34"/>
    </row>
    <row r="235" spans="1:4" ht="15.75" x14ac:dyDescent="0.25">
      <c r="A235" s="34"/>
      <c r="B235" s="34"/>
      <c r="C235" s="34"/>
      <c r="D235" s="34"/>
    </row>
    <row r="236" spans="1:4" ht="15.75" x14ac:dyDescent="0.25">
      <c r="A236" s="34"/>
      <c r="B236" s="34"/>
      <c r="C236" s="34"/>
      <c r="D236" s="34"/>
    </row>
    <row r="237" spans="1:4" ht="15.75" x14ac:dyDescent="0.25">
      <c r="A237" s="93" t="s">
        <v>750</v>
      </c>
      <c r="B237" s="93"/>
      <c r="C237" s="34"/>
      <c r="D237" s="34"/>
    </row>
    <row r="238" spans="1:4" ht="15.75" x14ac:dyDescent="0.25">
      <c r="A238" s="8" t="s">
        <v>1</v>
      </c>
      <c r="B238" s="8" t="s">
        <v>42</v>
      </c>
      <c r="C238" s="34"/>
      <c r="D238" s="34"/>
    </row>
    <row r="239" spans="1:4" ht="15.75" x14ac:dyDescent="0.25">
      <c r="A239" s="30" t="s">
        <v>32</v>
      </c>
      <c r="B239" s="30" t="s">
        <v>751</v>
      </c>
      <c r="C239" s="34"/>
      <c r="D239" s="34"/>
    </row>
    <row r="240" spans="1:4" ht="30" x14ac:dyDescent="0.25">
      <c r="A240" s="30" t="s">
        <v>23</v>
      </c>
      <c r="B240" s="30" t="s">
        <v>752</v>
      </c>
    </row>
    <row r="241" spans="1:2" x14ac:dyDescent="0.25">
      <c r="A241" s="30" t="s">
        <v>29</v>
      </c>
      <c r="B241" s="30" t="s">
        <v>753</v>
      </c>
    </row>
    <row r="242" spans="1:2" x14ac:dyDescent="0.25">
      <c r="A242" s="30" t="s">
        <v>754</v>
      </c>
      <c r="B242" s="30" t="s">
        <v>755</v>
      </c>
    </row>
    <row r="243" spans="1:2" x14ac:dyDescent="0.25">
      <c r="A243" s="30" t="s">
        <v>436</v>
      </c>
      <c r="B243" s="30" t="s">
        <v>756</v>
      </c>
    </row>
    <row r="244" spans="1:2" ht="120" x14ac:dyDescent="0.25">
      <c r="A244" s="30" t="s">
        <v>434</v>
      </c>
      <c r="B244" s="30" t="s">
        <v>757</v>
      </c>
    </row>
  </sheetData>
  <mergeCells count="4">
    <mergeCell ref="A211:B211"/>
    <mergeCell ref="A237:B237"/>
    <mergeCell ref="A1:D1"/>
    <mergeCell ref="A115:B115"/>
  </mergeCells>
  <phoneticPr fontId="4" type="noConversion"/>
  <dataValidations count="2">
    <dataValidation type="list" allowBlank="1" showInputMessage="1" showErrorMessage="1" sqref="D113" xr:uid="{801F11BB-B31D-472B-88D8-ADB2C40C08B9}">
      <formula1>$D$335:$D$340</formula1>
    </dataValidation>
    <dataValidation type="list" allowBlank="1" showInputMessage="1" showErrorMessage="1" sqref="D4:D112" xr:uid="{11DFEC44-5DA4-4665-A32F-E2A9B8122CCD}">
      <formula1>$A$239:$A$244</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9C2CDF09-BADC-4D48-B18D-1C63166AE0B8}">
          <x14:formula1>
            <xm:f>'D78'!$F$20:$F$59</xm:f>
          </x14:formula1>
          <xm:sqref>C4:C112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2D0C-702F-4B67-851B-FCBBD7CA1A48}">
  <dimension ref="A1:F59"/>
  <sheetViews>
    <sheetView workbookViewId="0">
      <selection activeCell="B15" sqref="B4:B15"/>
    </sheetView>
  </sheetViews>
  <sheetFormatPr defaultRowHeight="15" x14ac:dyDescent="0.25"/>
  <cols>
    <col min="1" max="1" width="25.28515625" customWidth="1"/>
    <col min="2" max="2" width="53.140625" customWidth="1"/>
    <col min="3" max="3" width="17.85546875" customWidth="1"/>
    <col min="4" max="4" width="20.140625" customWidth="1"/>
    <col min="5" max="5" width="19.28515625" customWidth="1"/>
    <col min="6" max="6" width="31.5703125" customWidth="1"/>
    <col min="7" max="7" width="18" customWidth="1"/>
  </cols>
  <sheetData>
    <row r="1" spans="1:6" ht="16.5" x14ac:dyDescent="0.25">
      <c r="A1" s="95" t="s">
        <v>758</v>
      </c>
      <c r="B1" s="96"/>
      <c r="C1" s="96"/>
      <c r="D1" s="96"/>
      <c r="E1" s="96"/>
      <c r="F1" s="97"/>
    </row>
    <row r="2" spans="1:6" x14ac:dyDescent="0.25">
      <c r="A2" s="14" t="s">
        <v>759</v>
      </c>
      <c r="B2" s="15" t="s">
        <v>2</v>
      </c>
      <c r="C2" s="15" t="s">
        <v>760</v>
      </c>
      <c r="D2" s="15" t="s">
        <v>761</v>
      </c>
      <c r="E2" s="15" t="s">
        <v>6</v>
      </c>
      <c r="F2" s="16" t="s">
        <v>7</v>
      </c>
    </row>
    <row r="3" spans="1:6" x14ac:dyDescent="0.25">
      <c r="A3" s="17" t="s">
        <v>762</v>
      </c>
      <c r="B3" s="18" t="s">
        <v>763</v>
      </c>
      <c r="C3" s="18" t="s">
        <v>764</v>
      </c>
      <c r="D3" s="18" t="s">
        <v>765</v>
      </c>
      <c r="E3" s="18" t="s">
        <v>766</v>
      </c>
      <c r="F3" s="18" t="s">
        <v>767</v>
      </c>
    </row>
    <row r="4" spans="1:6" x14ac:dyDescent="0.25">
      <c r="A4" s="12">
        <v>1</v>
      </c>
      <c r="B4" s="7" t="s">
        <v>768</v>
      </c>
      <c r="C4" s="7" t="s">
        <v>769</v>
      </c>
      <c r="D4" s="7" t="s">
        <v>22</v>
      </c>
      <c r="E4" s="7" t="s">
        <v>22</v>
      </c>
      <c r="F4" s="7" t="s">
        <v>22</v>
      </c>
    </row>
    <row r="5" spans="1:6" x14ac:dyDescent="0.25">
      <c r="A5" s="12">
        <v>2</v>
      </c>
      <c r="B5" s="7" t="s">
        <v>770</v>
      </c>
      <c r="C5" s="7" t="s">
        <v>771</v>
      </c>
      <c r="D5" s="7" t="s">
        <v>26</v>
      </c>
      <c r="E5" s="7" t="s">
        <v>24</v>
      </c>
      <c r="F5" s="7" t="s">
        <v>24</v>
      </c>
    </row>
    <row r="6" spans="1:6" x14ac:dyDescent="0.25">
      <c r="A6" s="12">
        <v>3</v>
      </c>
      <c r="B6" s="7" t="s">
        <v>772</v>
      </c>
      <c r="C6" s="7" t="s">
        <v>769</v>
      </c>
      <c r="D6" s="7" t="s">
        <v>22</v>
      </c>
      <c r="E6" s="7" t="s">
        <v>22</v>
      </c>
      <c r="F6" s="7" t="s">
        <v>22</v>
      </c>
    </row>
    <row r="7" spans="1:6" x14ac:dyDescent="0.25">
      <c r="A7" s="12">
        <v>4</v>
      </c>
      <c r="B7" s="7" t="s">
        <v>439</v>
      </c>
      <c r="C7" s="7" t="s">
        <v>771</v>
      </c>
      <c r="D7" s="7" t="s">
        <v>26</v>
      </c>
      <c r="E7" s="7" t="s">
        <v>26</v>
      </c>
      <c r="F7" s="7" t="s">
        <v>26</v>
      </c>
    </row>
    <row r="8" spans="1:6" x14ac:dyDescent="0.25">
      <c r="A8" s="12">
        <v>5</v>
      </c>
      <c r="B8" s="7" t="s">
        <v>773</v>
      </c>
      <c r="C8" s="7" t="s">
        <v>771</v>
      </c>
      <c r="D8" s="7" t="s">
        <v>24</v>
      </c>
      <c r="E8" s="7" t="s">
        <v>26</v>
      </c>
      <c r="F8" s="7" t="s">
        <v>26</v>
      </c>
    </row>
    <row r="9" spans="1:6" x14ac:dyDescent="0.25">
      <c r="A9" s="12">
        <v>6</v>
      </c>
      <c r="B9" s="7" t="s">
        <v>34</v>
      </c>
      <c r="C9" s="7" t="s">
        <v>771</v>
      </c>
      <c r="D9" s="7" t="s">
        <v>25</v>
      </c>
      <c r="E9" s="7" t="s">
        <v>25</v>
      </c>
      <c r="F9" s="7" t="s">
        <v>25</v>
      </c>
    </row>
    <row r="10" spans="1:6" x14ac:dyDescent="0.25">
      <c r="A10" s="12">
        <v>7</v>
      </c>
      <c r="B10" s="7" t="s">
        <v>31</v>
      </c>
      <c r="C10" s="7" t="s">
        <v>771</v>
      </c>
      <c r="D10" s="7" t="s">
        <v>24</v>
      </c>
      <c r="E10" s="7" t="s">
        <v>24</v>
      </c>
      <c r="F10" s="7" t="s">
        <v>24</v>
      </c>
    </row>
    <row r="11" spans="1:6" x14ac:dyDescent="0.25">
      <c r="A11" s="12">
        <v>8</v>
      </c>
      <c r="B11" s="7" t="s">
        <v>21</v>
      </c>
      <c r="C11" s="7" t="s">
        <v>771</v>
      </c>
      <c r="D11" s="7" t="s">
        <v>26</v>
      </c>
      <c r="E11" s="7" t="s">
        <v>24</v>
      </c>
      <c r="F11" s="7" t="s">
        <v>26</v>
      </c>
    </row>
    <row r="12" spans="1:6" x14ac:dyDescent="0.25">
      <c r="A12" s="12">
        <v>9</v>
      </c>
      <c r="B12" s="7" t="s">
        <v>36</v>
      </c>
      <c r="C12" s="7" t="s">
        <v>771</v>
      </c>
      <c r="D12" s="7" t="s">
        <v>26</v>
      </c>
      <c r="E12" s="7" t="s">
        <v>22</v>
      </c>
      <c r="F12" s="7" t="s">
        <v>26</v>
      </c>
    </row>
    <row r="13" spans="1:6" x14ac:dyDescent="0.25">
      <c r="A13" s="12">
        <v>10</v>
      </c>
      <c r="B13" s="7" t="s">
        <v>431</v>
      </c>
      <c r="C13" s="7" t="s">
        <v>771</v>
      </c>
      <c r="D13" s="7" t="s">
        <v>25</v>
      </c>
      <c r="E13" s="7" t="s">
        <v>24</v>
      </c>
      <c r="F13" s="7" t="s">
        <v>25</v>
      </c>
    </row>
    <row r="14" spans="1:6" x14ac:dyDescent="0.25">
      <c r="A14" s="12">
        <v>11</v>
      </c>
      <c r="B14" s="7" t="s">
        <v>480</v>
      </c>
      <c r="C14" s="7" t="s">
        <v>771</v>
      </c>
      <c r="D14" s="7" t="s">
        <v>26</v>
      </c>
      <c r="E14" s="7" t="s">
        <v>26</v>
      </c>
      <c r="F14" s="7" t="s">
        <v>26</v>
      </c>
    </row>
    <row r="15" spans="1:6" x14ac:dyDescent="0.25">
      <c r="A15" s="12">
        <v>12</v>
      </c>
      <c r="B15" s="7" t="s">
        <v>445</v>
      </c>
      <c r="C15" s="7" t="s">
        <v>771</v>
      </c>
      <c r="D15" s="7" t="s">
        <v>25</v>
      </c>
      <c r="E15" s="7" t="s">
        <v>25</v>
      </c>
      <c r="F15" s="7" t="s">
        <v>25</v>
      </c>
    </row>
    <row r="16" spans="1:6" x14ac:dyDescent="0.25">
      <c r="A16" s="10"/>
    </row>
    <row r="19" spans="1:6" ht="16.5" x14ac:dyDescent="0.25">
      <c r="A19" s="98" t="s">
        <v>774</v>
      </c>
      <c r="B19" s="98"/>
      <c r="C19" s="98"/>
      <c r="D19" s="98"/>
      <c r="F19" s="6" t="s">
        <v>775</v>
      </c>
    </row>
    <row r="20" spans="1:6" x14ac:dyDescent="0.25">
      <c r="A20" s="13" t="s">
        <v>759</v>
      </c>
      <c r="B20" s="13" t="s">
        <v>2</v>
      </c>
      <c r="C20" s="13" t="s">
        <v>760</v>
      </c>
      <c r="D20" s="13" t="s">
        <v>17</v>
      </c>
      <c r="F20" s="4" t="s">
        <v>768</v>
      </c>
    </row>
    <row r="21" spans="1:6" x14ac:dyDescent="0.25">
      <c r="A21" s="12">
        <v>1</v>
      </c>
      <c r="B21" s="3" t="s">
        <v>776</v>
      </c>
      <c r="C21" s="3" t="s">
        <v>771</v>
      </c>
      <c r="D21" s="3" t="s">
        <v>24</v>
      </c>
      <c r="F21" s="4" t="s">
        <v>777</v>
      </c>
    </row>
    <row r="22" spans="1:6" x14ac:dyDescent="0.25">
      <c r="A22" s="12">
        <v>2</v>
      </c>
      <c r="B22" s="3" t="s">
        <v>778</v>
      </c>
      <c r="C22" s="3" t="s">
        <v>771</v>
      </c>
      <c r="D22" s="3" t="s">
        <v>25</v>
      </c>
      <c r="F22" s="4" t="s">
        <v>450</v>
      </c>
    </row>
    <row r="23" spans="1:6" x14ac:dyDescent="0.25">
      <c r="A23" s="12">
        <v>3</v>
      </c>
      <c r="B23" s="3" t="s">
        <v>28</v>
      </c>
      <c r="C23" s="3" t="s">
        <v>771</v>
      </c>
      <c r="D23" s="3" t="s">
        <v>24</v>
      </c>
      <c r="F23" s="4" t="s">
        <v>770</v>
      </c>
    </row>
    <row r="24" spans="1:6" x14ac:dyDescent="0.25">
      <c r="A24" s="12">
        <v>4</v>
      </c>
      <c r="B24" s="3" t="s">
        <v>779</v>
      </c>
      <c r="C24" s="3" t="s">
        <v>771</v>
      </c>
      <c r="D24" s="3" t="s">
        <v>24</v>
      </c>
      <c r="F24" s="4" t="s">
        <v>780</v>
      </c>
    </row>
    <row r="25" spans="1:6" x14ac:dyDescent="0.25">
      <c r="A25" s="12">
        <v>5</v>
      </c>
      <c r="B25" s="3" t="s">
        <v>450</v>
      </c>
      <c r="C25" s="3" t="s">
        <v>771</v>
      </c>
      <c r="D25" s="3" t="s">
        <v>25</v>
      </c>
      <c r="F25" s="4" t="s">
        <v>772</v>
      </c>
    </row>
    <row r="26" spans="1:6" x14ac:dyDescent="0.25">
      <c r="A26" s="12">
        <v>6</v>
      </c>
      <c r="B26" s="3" t="s">
        <v>433</v>
      </c>
      <c r="C26" s="3" t="s">
        <v>769</v>
      </c>
      <c r="D26" s="3" t="s">
        <v>22</v>
      </c>
      <c r="F26" s="4" t="s">
        <v>433</v>
      </c>
    </row>
    <row r="27" spans="1:6" x14ac:dyDescent="0.25">
      <c r="A27" s="12">
        <v>7</v>
      </c>
      <c r="B27" s="3" t="s">
        <v>781</v>
      </c>
      <c r="C27" s="3" t="s">
        <v>771</v>
      </c>
      <c r="D27" s="3" t="s">
        <v>26</v>
      </c>
      <c r="F27" s="4" t="s">
        <v>782</v>
      </c>
    </row>
    <row r="28" spans="1:6" x14ac:dyDescent="0.25">
      <c r="A28" s="12">
        <v>8</v>
      </c>
      <c r="B28" s="3" t="s">
        <v>780</v>
      </c>
      <c r="C28" s="3" t="s">
        <v>771</v>
      </c>
      <c r="D28" s="3" t="s">
        <v>25</v>
      </c>
      <c r="F28" s="4" t="s">
        <v>783</v>
      </c>
    </row>
    <row r="29" spans="1:6" x14ac:dyDescent="0.25">
      <c r="A29" s="12">
        <v>9</v>
      </c>
      <c r="B29" s="3" t="s">
        <v>784</v>
      </c>
      <c r="C29" s="3" t="s">
        <v>769</v>
      </c>
      <c r="D29" s="3" t="s">
        <v>22</v>
      </c>
      <c r="F29" s="4" t="s">
        <v>220</v>
      </c>
    </row>
    <row r="30" spans="1:6" x14ac:dyDescent="0.25">
      <c r="A30" s="12">
        <v>10</v>
      </c>
      <c r="B30" s="3" t="s">
        <v>785</v>
      </c>
      <c r="C30" s="3" t="s">
        <v>771</v>
      </c>
      <c r="D30" s="3" t="s">
        <v>25</v>
      </c>
      <c r="F30" s="4" t="s">
        <v>439</v>
      </c>
    </row>
    <row r="31" spans="1:6" x14ac:dyDescent="0.25">
      <c r="A31" s="12">
        <v>11</v>
      </c>
      <c r="B31" s="3" t="s">
        <v>786</v>
      </c>
      <c r="C31" s="3" t="s">
        <v>771</v>
      </c>
      <c r="D31" s="3" t="s">
        <v>25</v>
      </c>
      <c r="F31" s="4" t="s">
        <v>787</v>
      </c>
    </row>
    <row r="32" spans="1:6" x14ac:dyDescent="0.25">
      <c r="A32" s="12">
        <v>12</v>
      </c>
      <c r="B32" s="3" t="s">
        <v>788</v>
      </c>
      <c r="C32" s="3" t="s">
        <v>771</v>
      </c>
      <c r="D32" s="3" t="s">
        <v>25</v>
      </c>
      <c r="F32" s="4" t="s">
        <v>789</v>
      </c>
    </row>
    <row r="33" spans="1:6" x14ac:dyDescent="0.25">
      <c r="A33" s="12">
        <v>13</v>
      </c>
      <c r="B33" s="3" t="s">
        <v>790</v>
      </c>
      <c r="C33" s="3" t="s">
        <v>771</v>
      </c>
      <c r="D33" s="3" t="s">
        <v>26</v>
      </c>
      <c r="F33" s="4" t="s">
        <v>790</v>
      </c>
    </row>
    <row r="34" spans="1:6" x14ac:dyDescent="0.25">
      <c r="A34" s="12">
        <v>14</v>
      </c>
      <c r="B34" s="3" t="s">
        <v>791</v>
      </c>
      <c r="C34" s="3" t="s">
        <v>771</v>
      </c>
      <c r="D34" s="3" t="s">
        <v>24</v>
      </c>
      <c r="F34" s="4" t="s">
        <v>773</v>
      </c>
    </row>
    <row r="35" spans="1:6" x14ac:dyDescent="0.25">
      <c r="A35" s="12">
        <v>15</v>
      </c>
      <c r="B35" s="3" t="s">
        <v>441</v>
      </c>
      <c r="C35" s="3" t="s">
        <v>771</v>
      </c>
      <c r="D35" s="3" t="s">
        <v>25</v>
      </c>
      <c r="F35" s="4" t="s">
        <v>792</v>
      </c>
    </row>
    <row r="36" spans="1:6" x14ac:dyDescent="0.25">
      <c r="A36" s="12">
        <v>16</v>
      </c>
      <c r="B36" s="3" t="s">
        <v>787</v>
      </c>
      <c r="C36" s="3" t="s">
        <v>771</v>
      </c>
      <c r="D36" s="3" t="s">
        <v>24</v>
      </c>
      <c r="F36" s="4" t="s">
        <v>458</v>
      </c>
    </row>
    <row r="37" spans="1:6" x14ac:dyDescent="0.25">
      <c r="A37" s="12">
        <v>17</v>
      </c>
      <c r="B37" s="3" t="s">
        <v>789</v>
      </c>
      <c r="C37" s="3" t="s">
        <v>771</v>
      </c>
      <c r="D37" s="3" t="s">
        <v>26</v>
      </c>
      <c r="F37" s="4" t="s">
        <v>791</v>
      </c>
    </row>
    <row r="38" spans="1:6" x14ac:dyDescent="0.25">
      <c r="A38" s="12">
        <v>18</v>
      </c>
      <c r="B38" s="3" t="s">
        <v>793</v>
      </c>
      <c r="C38" s="3" t="s">
        <v>771</v>
      </c>
      <c r="D38" s="3" t="s">
        <v>26</v>
      </c>
      <c r="F38" s="4" t="s">
        <v>34</v>
      </c>
    </row>
    <row r="39" spans="1:6" x14ac:dyDescent="0.25">
      <c r="A39" s="12">
        <v>19</v>
      </c>
      <c r="B39" s="3" t="s">
        <v>792</v>
      </c>
      <c r="C39" s="3" t="s">
        <v>771</v>
      </c>
      <c r="D39" s="3" t="s">
        <v>26</v>
      </c>
      <c r="F39" s="4" t="s">
        <v>441</v>
      </c>
    </row>
    <row r="40" spans="1:6" x14ac:dyDescent="0.25">
      <c r="A40" s="12">
        <v>20</v>
      </c>
      <c r="B40" s="3" t="s">
        <v>782</v>
      </c>
      <c r="C40" s="3" t="s">
        <v>771</v>
      </c>
      <c r="D40" s="3" t="s">
        <v>26</v>
      </c>
      <c r="F40" s="4" t="s">
        <v>788</v>
      </c>
    </row>
    <row r="41" spans="1:6" x14ac:dyDescent="0.25">
      <c r="A41" s="12">
        <v>21</v>
      </c>
      <c r="B41" s="3" t="s">
        <v>777</v>
      </c>
      <c r="C41" s="3" t="s">
        <v>771</v>
      </c>
      <c r="D41" s="3" t="s">
        <v>25</v>
      </c>
      <c r="F41" s="4" t="s">
        <v>31</v>
      </c>
    </row>
    <row r="42" spans="1:6" x14ac:dyDescent="0.25">
      <c r="A42" s="12">
        <v>22</v>
      </c>
      <c r="B42" s="3" t="s">
        <v>447</v>
      </c>
      <c r="C42" s="3" t="s">
        <v>771</v>
      </c>
      <c r="D42" s="3" t="s">
        <v>24</v>
      </c>
      <c r="F42" s="4" t="s">
        <v>786</v>
      </c>
    </row>
    <row r="43" spans="1:6" x14ac:dyDescent="0.25">
      <c r="A43" s="12">
        <v>23</v>
      </c>
      <c r="B43" s="3" t="s">
        <v>794</v>
      </c>
      <c r="C43" s="3" t="s">
        <v>771</v>
      </c>
      <c r="D43" s="3" t="s">
        <v>26</v>
      </c>
      <c r="F43" s="4" t="s">
        <v>21</v>
      </c>
    </row>
    <row r="44" spans="1:6" x14ac:dyDescent="0.25">
      <c r="A44" s="12">
        <v>24</v>
      </c>
      <c r="B44" s="3" t="s">
        <v>458</v>
      </c>
      <c r="C44" s="3" t="s">
        <v>771</v>
      </c>
      <c r="D44" s="3" t="s">
        <v>25</v>
      </c>
      <c r="F44" s="4" t="s">
        <v>447</v>
      </c>
    </row>
    <row r="45" spans="1:6" x14ac:dyDescent="0.25">
      <c r="A45" s="12">
        <v>25</v>
      </c>
      <c r="B45" s="3" t="s">
        <v>795</v>
      </c>
      <c r="C45" s="3" t="s">
        <v>771</v>
      </c>
      <c r="D45" s="3" t="s">
        <v>25</v>
      </c>
      <c r="F45" s="4" t="s">
        <v>36</v>
      </c>
    </row>
    <row r="46" spans="1:6" x14ac:dyDescent="0.25">
      <c r="A46" s="12">
        <v>26</v>
      </c>
      <c r="B46" s="3" t="s">
        <v>783</v>
      </c>
      <c r="C46" s="3" t="s">
        <v>771</v>
      </c>
      <c r="D46" s="3" t="s">
        <v>25</v>
      </c>
      <c r="F46" s="4" t="s">
        <v>785</v>
      </c>
    </row>
    <row r="47" spans="1:6" x14ac:dyDescent="0.25">
      <c r="A47" s="12">
        <v>27</v>
      </c>
      <c r="B47" s="3" t="s">
        <v>460</v>
      </c>
      <c r="C47" s="3" t="s">
        <v>771</v>
      </c>
      <c r="D47" s="3" t="s">
        <v>24</v>
      </c>
      <c r="F47" s="4" t="s">
        <v>431</v>
      </c>
    </row>
    <row r="48" spans="1:6" x14ac:dyDescent="0.25">
      <c r="A48" s="12">
        <v>28</v>
      </c>
      <c r="B48" s="3" t="s">
        <v>220</v>
      </c>
      <c r="C48" s="3" t="s">
        <v>769</v>
      </c>
      <c r="D48" s="3" t="s">
        <v>22</v>
      </c>
      <c r="F48" s="4" t="s">
        <v>778</v>
      </c>
    </row>
    <row r="49" spans="6:6" x14ac:dyDescent="0.25">
      <c r="F49" s="4" t="s">
        <v>779</v>
      </c>
    </row>
    <row r="50" spans="6:6" x14ac:dyDescent="0.25">
      <c r="F50" s="4" t="s">
        <v>781</v>
      </c>
    </row>
    <row r="51" spans="6:6" x14ac:dyDescent="0.25">
      <c r="F51" s="4" t="s">
        <v>460</v>
      </c>
    </row>
    <row r="52" spans="6:6" x14ac:dyDescent="0.25">
      <c r="F52" s="4" t="s">
        <v>28</v>
      </c>
    </row>
    <row r="53" spans="6:6" x14ac:dyDescent="0.25">
      <c r="F53" s="4" t="s">
        <v>480</v>
      </c>
    </row>
    <row r="54" spans="6:6" x14ac:dyDescent="0.25">
      <c r="F54" s="4" t="s">
        <v>795</v>
      </c>
    </row>
    <row r="55" spans="6:6" x14ac:dyDescent="0.25">
      <c r="F55" s="4" t="s">
        <v>784</v>
      </c>
    </row>
    <row r="56" spans="6:6" x14ac:dyDescent="0.25">
      <c r="F56" s="4" t="s">
        <v>445</v>
      </c>
    </row>
    <row r="57" spans="6:6" x14ac:dyDescent="0.25">
      <c r="F57" s="4" t="s">
        <v>794</v>
      </c>
    </row>
    <row r="58" spans="6:6" x14ac:dyDescent="0.25">
      <c r="F58" s="4" t="s">
        <v>776</v>
      </c>
    </row>
    <row r="59" spans="6:6" x14ac:dyDescent="0.25">
      <c r="F59" s="4" t="s">
        <v>793</v>
      </c>
    </row>
  </sheetData>
  <sortState xmlns:xlrd2="http://schemas.microsoft.com/office/spreadsheetml/2017/richdata2" ref="F21:F59">
    <sortCondition ref="F21:F59"/>
  </sortState>
  <mergeCells count="2">
    <mergeCell ref="A1:F1"/>
    <mergeCell ref="A19:D19"/>
  </mergeCells>
  <conditionalFormatting sqref="A3">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C21:C48" xr:uid="{EF2E7EBA-CC8C-4D25-87FB-E7D876A87886}">
      <formula1>$C$4:$C$5</formula1>
    </dataValidation>
  </dataValidations>
  <pageMargins left="0.7" right="0.7" top="0.75" bottom="0.75" header="0.3" footer="0.3"/>
  <tableParts count="3">
    <tablePart r:id="rId1"/>
    <tablePart r:id="rId2"/>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DED4AC13-321A-4B4D-8331-E2E77F8BDF9F}">
          <x14:formula1>
            <xm:f>'D3456'!$A$4:$A$8</xm:f>
          </x14:formula1>
          <xm:sqref>F4:F15</xm:sqref>
        </x14:dataValidation>
        <x14:dataValidation type="list" allowBlank="1" showInputMessage="1" showErrorMessage="1" xr:uid="{48E61816-C8AB-45C0-BEB7-B61191E09DA5}">
          <x14:formula1>
            <xm:f>'D3456'!$A$32:$A$36</xm:f>
          </x14:formula1>
          <xm:sqref>E4:E15</xm:sqref>
        </x14:dataValidation>
        <x14:dataValidation type="list" allowBlank="1" showInputMessage="1" showErrorMessage="1" xr:uid="{ABFD203D-3EE2-460B-ACC2-50C83D85FE51}">
          <x14:formula1>
            <xm:f>'D3456'!$A$23:$A$27</xm:f>
          </x14:formula1>
          <xm:sqref>D4:D15</xm:sqref>
        </x14:dataValidation>
        <x14:dataValidation type="list" allowBlank="1" showInputMessage="1" showErrorMessage="1" xr:uid="{E5F89F20-4B60-4EEA-BF51-3EB054FE5445}">
          <x14:formula1>
            <xm:f>'D3456'!$A$14:$A$18</xm:f>
          </x14:formula1>
          <xm:sqref>D21:D48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6F05-4DEB-403C-BFF1-768A88C991A5}">
  <dimension ref="A1:F39"/>
  <sheetViews>
    <sheetView topLeftCell="B7" zoomScale="80" zoomScaleNormal="80" workbookViewId="0">
      <selection activeCell="A11" sqref="A11:D12"/>
    </sheetView>
  </sheetViews>
  <sheetFormatPr defaultColWidth="8.85546875" defaultRowHeight="15" x14ac:dyDescent="0.2"/>
  <cols>
    <col min="1" max="1" width="37" style="23" customWidth="1"/>
    <col min="2" max="2" width="56" style="23" customWidth="1"/>
    <col min="3" max="3" width="61.28515625" style="23" customWidth="1"/>
    <col min="4" max="4" width="117.7109375" style="23" customWidth="1"/>
    <col min="5" max="5" width="50.7109375" style="23" customWidth="1"/>
    <col min="6" max="6" width="83.28515625" style="23" customWidth="1"/>
    <col min="7" max="16384" width="8.85546875" style="23"/>
  </cols>
  <sheetData>
    <row r="1" spans="1:4" x14ac:dyDescent="0.2">
      <c r="A1" s="93" t="s">
        <v>796</v>
      </c>
      <c r="B1" s="93"/>
      <c r="C1" s="93"/>
      <c r="D1" s="93"/>
    </row>
    <row r="2" spans="1:4" x14ac:dyDescent="0.2">
      <c r="A2" s="93"/>
      <c r="B2" s="93"/>
      <c r="C2" s="93"/>
      <c r="D2" s="93"/>
    </row>
    <row r="3" spans="1:4" ht="15.75" x14ac:dyDescent="0.2">
      <c r="A3" s="8" t="s">
        <v>797</v>
      </c>
      <c r="B3" s="8" t="s">
        <v>798</v>
      </c>
      <c r="C3" s="8" t="s">
        <v>799</v>
      </c>
      <c r="D3" s="8" t="s">
        <v>42</v>
      </c>
    </row>
    <row r="4" spans="1:4" ht="104.25" customHeight="1" x14ac:dyDescent="0.2">
      <c r="A4" s="38" t="s">
        <v>25</v>
      </c>
      <c r="B4" s="38" t="s">
        <v>800</v>
      </c>
      <c r="C4" s="61">
        <v>10</v>
      </c>
      <c r="D4" s="30" t="s">
        <v>801</v>
      </c>
    </row>
    <row r="5" spans="1:4" ht="85.9" customHeight="1" x14ac:dyDescent="0.2">
      <c r="A5" s="38" t="s">
        <v>24</v>
      </c>
      <c r="B5" s="38" t="s">
        <v>802</v>
      </c>
      <c r="C5" s="38">
        <v>8</v>
      </c>
      <c r="D5" s="30" t="s">
        <v>803</v>
      </c>
    </row>
    <row r="6" spans="1:4" ht="43.9" customHeight="1" x14ac:dyDescent="0.2">
      <c r="A6" s="38" t="s">
        <v>26</v>
      </c>
      <c r="B6" s="38" t="s">
        <v>804</v>
      </c>
      <c r="C6" s="38">
        <v>5</v>
      </c>
      <c r="D6" s="30" t="s">
        <v>805</v>
      </c>
    </row>
    <row r="7" spans="1:4" ht="35.450000000000003" customHeight="1" x14ac:dyDescent="0.2">
      <c r="A7" s="38" t="s">
        <v>22</v>
      </c>
      <c r="B7" s="38" t="s">
        <v>806</v>
      </c>
      <c r="C7" s="38">
        <v>2</v>
      </c>
      <c r="D7" s="30" t="s">
        <v>937</v>
      </c>
    </row>
    <row r="8" spans="1:4" ht="33" customHeight="1" x14ac:dyDescent="0.2">
      <c r="A8" s="38" t="s">
        <v>38</v>
      </c>
      <c r="B8" s="38" t="s">
        <v>807</v>
      </c>
      <c r="C8" s="38">
        <v>0</v>
      </c>
      <c r="D8" s="29" t="s">
        <v>808</v>
      </c>
    </row>
    <row r="11" spans="1:4" x14ac:dyDescent="0.2">
      <c r="A11" s="93" t="s">
        <v>809</v>
      </c>
      <c r="B11" s="93"/>
      <c r="C11" s="93"/>
      <c r="D11" s="93"/>
    </row>
    <row r="12" spans="1:4" x14ac:dyDescent="0.2">
      <c r="A12" s="93"/>
      <c r="B12" s="93"/>
      <c r="C12" s="93"/>
      <c r="D12" s="93"/>
    </row>
    <row r="13" spans="1:4" ht="15.75" x14ac:dyDescent="0.2">
      <c r="A13" s="8" t="s">
        <v>810</v>
      </c>
      <c r="B13" s="8" t="s">
        <v>811</v>
      </c>
      <c r="C13" s="8" t="s">
        <v>812</v>
      </c>
      <c r="D13" s="8" t="s">
        <v>42</v>
      </c>
    </row>
    <row r="14" spans="1:4" ht="52.15" customHeight="1" x14ac:dyDescent="0.2">
      <c r="A14" s="42" t="s">
        <v>25</v>
      </c>
      <c r="B14" s="42" t="s">
        <v>813</v>
      </c>
      <c r="C14" s="42">
        <v>10</v>
      </c>
      <c r="D14" s="30" t="s">
        <v>814</v>
      </c>
    </row>
    <row r="15" spans="1:4" ht="49.15" customHeight="1" x14ac:dyDescent="0.2">
      <c r="A15" s="42" t="s">
        <v>24</v>
      </c>
      <c r="B15" s="42" t="s">
        <v>802</v>
      </c>
      <c r="C15" s="42">
        <v>8</v>
      </c>
      <c r="D15" s="30" t="s">
        <v>938</v>
      </c>
    </row>
    <row r="16" spans="1:4" ht="49.9" customHeight="1" x14ac:dyDescent="0.2">
      <c r="A16" s="42" t="s">
        <v>26</v>
      </c>
      <c r="B16" s="42" t="s">
        <v>804</v>
      </c>
      <c r="C16" s="42">
        <v>5</v>
      </c>
      <c r="D16" s="30" t="s">
        <v>815</v>
      </c>
    </row>
    <row r="17" spans="1:4" ht="54" customHeight="1" x14ac:dyDescent="0.2">
      <c r="A17" s="42" t="s">
        <v>22</v>
      </c>
      <c r="B17" s="62" t="s">
        <v>806</v>
      </c>
      <c r="C17" s="42">
        <v>2</v>
      </c>
      <c r="D17" s="30" t="s">
        <v>816</v>
      </c>
    </row>
    <row r="18" spans="1:4" ht="49.9" customHeight="1" x14ac:dyDescent="0.2">
      <c r="A18" s="42" t="s">
        <v>38</v>
      </c>
      <c r="B18" s="42" t="s">
        <v>807</v>
      </c>
      <c r="C18" s="42">
        <v>0</v>
      </c>
      <c r="D18" s="30" t="s">
        <v>939</v>
      </c>
    </row>
    <row r="20" spans="1:4" x14ac:dyDescent="0.2">
      <c r="A20" s="99" t="s">
        <v>817</v>
      </c>
      <c r="B20" s="99"/>
      <c r="C20" s="99"/>
      <c r="D20" s="99"/>
    </row>
    <row r="21" spans="1:4" x14ac:dyDescent="0.2">
      <c r="A21" s="99"/>
      <c r="B21" s="99"/>
      <c r="C21" s="99"/>
      <c r="D21" s="99"/>
    </row>
    <row r="22" spans="1:4" x14ac:dyDescent="0.2">
      <c r="A22" s="44" t="s">
        <v>810</v>
      </c>
      <c r="B22" s="44" t="s">
        <v>811</v>
      </c>
      <c r="C22" s="44" t="s">
        <v>812</v>
      </c>
      <c r="D22" s="44" t="s">
        <v>42</v>
      </c>
    </row>
    <row r="23" spans="1:4" ht="40.9" customHeight="1" x14ac:dyDescent="0.2">
      <c r="A23" s="38" t="s">
        <v>25</v>
      </c>
      <c r="B23" s="38" t="s">
        <v>813</v>
      </c>
      <c r="C23" s="38">
        <v>10</v>
      </c>
      <c r="D23" s="30" t="s">
        <v>940</v>
      </c>
    </row>
    <row r="24" spans="1:4" ht="42" customHeight="1" x14ac:dyDescent="0.2">
      <c r="A24" s="38" t="s">
        <v>24</v>
      </c>
      <c r="B24" s="38" t="s">
        <v>802</v>
      </c>
      <c r="C24" s="38">
        <v>8</v>
      </c>
      <c r="D24" s="30" t="s">
        <v>818</v>
      </c>
    </row>
    <row r="25" spans="1:4" ht="31.15" customHeight="1" x14ac:dyDescent="0.2">
      <c r="A25" s="38" t="s">
        <v>26</v>
      </c>
      <c r="B25" s="38" t="s">
        <v>804</v>
      </c>
      <c r="C25" s="38">
        <v>5</v>
      </c>
      <c r="D25" s="30" t="s">
        <v>819</v>
      </c>
    </row>
    <row r="26" spans="1:4" ht="37.5" customHeight="1" x14ac:dyDescent="0.2">
      <c r="A26" s="38" t="s">
        <v>22</v>
      </c>
      <c r="B26" s="55" t="s">
        <v>806</v>
      </c>
      <c r="C26" s="38">
        <v>2</v>
      </c>
      <c r="D26" s="45" t="s">
        <v>820</v>
      </c>
    </row>
    <row r="27" spans="1:4" ht="42.75" customHeight="1" x14ac:dyDescent="0.2">
      <c r="A27" s="38" t="s">
        <v>38</v>
      </c>
      <c r="B27" s="38" t="s">
        <v>807</v>
      </c>
      <c r="C27" s="38">
        <v>0</v>
      </c>
      <c r="D27" s="30" t="s">
        <v>821</v>
      </c>
    </row>
    <row r="29" spans="1:4" x14ac:dyDescent="0.2">
      <c r="A29" s="99" t="s">
        <v>822</v>
      </c>
      <c r="B29" s="99"/>
      <c r="C29" s="99"/>
      <c r="D29" s="99"/>
    </row>
    <row r="30" spans="1:4" x14ac:dyDescent="0.2">
      <c r="A30" s="99"/>
      <c r="B30" s="99"/>
      <c r="C30" s="99"/>
      <c r="D30" s="99"/>
    </row>
    <row r="31" spans="1:4" x14ac:dyDescent="0.2">
      <c r="A31" s="44" t="s">
        <v>797</v>
      </c>
      <c r="B31" s="43" t="s">
        <v>823</v>
      </c>
      <c r="C31" s="43" t="s">
        <v>824</v>
      </c>
      <c r="D31" s="43" t="s">
        <v>42</v>
      </c>
    </row>
    <row r="32" spans="1:4" ht="61.5" customHeight="1" x14ac:dyDescent="0.2">
      <c r="A32" s="38" t="s">
        <v>25</v>
      </c>
      <c r="B32" s="38" t="s">
        <v>800</v>
      </c>
      <c r="C32" s="38">
        <v>10</v>
      </c>
      <c r="D32" s="30" t="s">
        <v>825</v>
      </c>
    </row>
    <row r="33" spans="1:6" ht="72.599999999999994" customHeight="1" x14ac:dyDescent="0.2">
      <c r="A33" s="38" t="s">
        <v>24</v>
      </c>
      <c r="B33" s="38" t="s">
        <v>802</v>
      </c>
      <c r="C33" s="38">
        <v>8</v>
      </c>
      <c r="D33" s="30" t="s">
        <v>941</v>
      </c>
    </row>
    <row r="34" spans="1:6" ht="81.599999999999994" customHeight="1" x14ac:dyDescent="0.2">
      <c r="A34" s="38" t="s">
        <v>26</v>
      </c>
      <c r="B34" s="38" t="s">
        <v>804</v>
      </c>
      <c r="C34" s="38">
        <v>5</v>
      </c>
      <c r="D34" s="30" t="s">
        <v>942</v>
      </c>
    </row>
    <row r="35" spans="1:6" ht="43.9" customHeight="1" x14ac:dyDescent="0.2">
      <c r="A35" s="38" t="s">
        <v>22</v>
      </c>
      <c r="B35" s="38" t="s">
        <v>806</v>
      </c>
      <c r="C35" s="38">
        <v>2</v>
      </c>
      <c r="D35" s="30" t="s">
        <v>943</v>
      </c>
    </row>
    <row r="36" spans="1:6" ht="38.25" customHeight="1" x14ac:dyDescent="0.2">
      <c r="A36" s="38" t="s">
        <v>38</v>
      </c>
      <c r="B36" s="38" t="s">
        <v>807</v>
      </c>
      <c r="C36" s="38">
        <v>0</v>
      </c>
      <c r="D36" s="30" t="s">
        <v>826</v>
      </c>
    </row>
    <row r="37" spans="1:6" ht="15.75" x14ac:dyDescent="0.25">
      <c r="A37" s="58"/>
      <c r="B37" s="58"/>
      <c r="C37" s="58"/>
    </row>
    <row r="38" spans="1:6" x14ac:dyDescent="0.2">
      <c r="A38" s="46"/>
      <c r="B38" s="46"/>
      <c r="C38" s="47"/>
      <c r="D38" s="47"/>
      <c r="E38" s="47"/>
      <c r="F38" s="48"/>
    </row>
    <row r="39" spans="1:6" x14ac:dyDescent="0.2">
      <c r="A39" s="49"/>
      <c r="F39" s="50"/>
    </row>
  </sheetData>
  <mergeCells count="4">
    <mergeCell ref="A1:D2"/>
    <mergeCell ref="A11:D12"/>
    <mergeCell ref="A20:D21"/>
    <mergeCell ref="A29:D30"/>
  </mergeCells>
  <pageMargins left="0.7" right="0.7" top="0.75" bottom="0.75" header="0.3" footer="0.3"/>
  <pageSetup orientation="portrait"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81B4-0D43-44DE-A65A-B0B92E8E2329}">
  <dimension ref="A1:D17"/>
  <sheetViews>
    <sheetView workbookViewId="0">
      <selection sqref="A1:D2"/>
    </sheetView>
  </sheetViews>
  <sheetFormatPr defaultRowHeight="15" x14ac:dyDescent="0.25"/>
  <cols>
    <col min="1" max="1" width="35" customWidth="1"/>
    <col min="2" max="2" width="45.7109375" customWidth="1"/>
    <col min="3" max="3" width="73.85546875" customWidth="1"/>
    <col min="4" max="4" width="77.28515625" customWidth="1"/>
  </cols>
  <sheetData>
    <row r="1" spans="1:4" x14ac:dyDescent="0.25">
      <c r="A1" s="99" t="s">
        <v>822</v>
      </c>
      <c r="B1" s="99"/>
      <c r="C1" s="99"/>
      <c r="D1" s="99"/>
    </row>
    <row r="2" spans="1:4" x14ac:dyDescent="0.25">
      <c r="A2" s="99"/>
      <c r="B2" s="99"/>
      <c r="C2" s="99"/>
      <c r="D2" s="99"/>
    </row>
    <row r="3" spans="1:4" ht="15.75" x14ac:dyDescent="0.25">
      <c r="A3" s="44" t="s">
        <v>797</v>
      </c>
      <c r="B3" s="43" t="s">
        <v>823</v>
      </c>
      <c r="C3" s="43" t="s">
        <v>824</v>
      </c>
      <c r="D3" s="43" t="s">
        <v>42</v>
      </c>
    </row>
    <row r="4" spans="1:4" ht="37.5" customHeight="1" x14ac:dyDescent="0.25">
      <c r="A4" s="38" t="s">
        <v>25</v>
      </c>
      <c r="B4" s="38" t="s">
        <v>800</v>
      </c>
      <c r="C4" s="38">
        <v>10</v>
      </c>
      <c r="D4" s="30" t="s">
        <v>965</v>
      </c>
    </row>
    <row r="5" spans="1:4" ht="35.25" customHeight="1" x14ac:dyDescent="0.25">
      <c r="A5" s="38" t="s">
        <v>24</v>
      </c>
      <c r="B5" s="38" t="s">
        <v>802</v>
      </c>
      <c r="C5" s="38">
        <v>8</v>
      </c>
      <c r="D5" s="30" t="s">
        <v>966</v>
      </c>
    </row>
    <row r="6" spans="1:4" ht="51" customHeight="1" x14ac:dyDescent="0.25">
      <c r="A6" s="38" t="s">
        <v>26</v>
      </c>
      <c r="B6" s="38" t="s">
        <v>804</v>
      </c>
      <c r="C6" s="38">
        <v>5</v>
      </c>
      <c r="D6" s="30" t="s">
        <v>967</v>
      </c>
    </row>
    <row r="7" spans="1:4" ht="51" customHeight="1" x14ac:dyDescent="0.25">
      <c r="A7" s="38" t="s">
        <v>22</v>
      </c>
      <c r="B7" s="38" t="s">
        <v>806</v>
      </c>
      <c r="C7" s="38">
        <v>2</v>
      </c>
      <c r="D7" s="30" t="s">
        <v>968</v>
      </c>
    </row>
    <row r="8" spans="1:4" ht="33" customHeight="1" x14ac:dyDescent="0.25">
      <c r="A8" s="38" t="s">
        <v>38</v>
      </c>
      <c r="B8" s="38" t="s">
        <v>807</v>
      </c>
      <c r="C8" s="38">
        <v>0</v>
      </c>
      <c r="D8" s="30" t="s">
        <v>969</v>
      </c>
    </row>
    <row r="9" spans="1:4" ht="24" customHeight="1" x14ac:dyDescent="0.25"/>
    <row r="10" spans="1:4" x14ac:dyDescent="0.25">
      <c r="A10" s="99" t="s">
        <v>972</v>
      </c>
      <c r="B10" s="99"/>
    </row>
    <row r="11" spans="1:4" x14ac:dyDescent="0.25">
      <c r="A11" s="99"/>
      <c r="B11" s="99"/>
    </row>
    <row r="12" spans="1:4" ht="15" customHeight="1" x14ac:dyDescent="0.25">
      <c r="A12" s="78" t="s">
        <v>797</v>
      </c>
      <c r="B12" s="78" t="s">
        <v>824</v>
      </c>
    </row>
    <row r="13" spans="1:4" ht="15" customHeight="1" x14ac:dyDescent="0.25">
      <c r="A13" s="74" t="s">
        <v>25</v>
      </c>
      <c r="B13" s="76">
        <v>5</v>
      </c>
    </row>
    <row r="14" spans="1:4" ht="15.75" x14ac:dyDescent="0.25">
      <c r="A14" s="75" t="s">
        <v>24</v>
      </c>
      <c r="B14" s="77">
        <v>4</v>
      </c>
    </row>
    <row r="15" spans="1:4" ht="15.75" x14ac:dyDescent="0.25">
      <c r="A15" s="74" t="s">
        <v>26</v>
      </c>
      <c r="B15" s="76">
        <v>3</v>
      </c>
    </row>
    <row r="16" spans="1:4" ht="15.75" x14ac:dyDescent="0.25">
      <c r="A16" s="75" t="s">
        <v>22</v>
      </c>
      <c r="B16" s="77">
        <v>2</v>
      </c>
    </row>
    <row r="17" spans="1:2" ht="15.75" x14ac:dyDescent="0.25">
      <c r="A17" s="74" t="s">
        <v>38</v>
      </c>
      <c r="B17" s="76">
        <v>1</v>
      </c>
    </row>
  </sheetData>
  <mergeCells count="2">
    <mergeCell ref="A1:D2"/>
    <mergeCell ref="A10:B11"/>
  </mergeCells>
  <pageMargins left="0.7" right="0.7" top="0.75" bottom="0.75" header="0.3" footer="0.3"/>
  <pageSetup orientation="portrait" horizontalDpi="360" verticalDpi="36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2F0E-477E-4532-B9B4-A5B8B91061BC}">
  <dimension ref="A1:D43"/>
  <sheetViews>
    <sheetView topLeftCell="A24" zoomScaleNormal="55" workbookViewId="0">
      <selection activeCell="E26" sqref="E26"/>
    </sheetView>
  </sheetViews>
  <sheetFormatPr defaultColWidth="8.85546875" defaultRowHeight="15" x14ac:dyDescent="0.2"/>
  <cols>
    <col min="1" max="1" width="28.85546875" style="23" customWidth="1"/>
    <col min="2" max="2" width="72.42578125" style="23" customWidth="1"/>
    <col min="3" max="3" width="33.42578125" style="23" customWidth="1"/>
    <col min="4" max="4" width="72.7109375" style="23" customWidth="1"/>
    <col min="5" max="16384" width="8.85546875" style="23"/>
  </cols>
  <sheetData>
    <row r="1" spans="1:4" ht="15.75" x14ac:dyDescent="0.2">
      <c r="A1" s="94" t="s">
        <v>827</v>
      </c>
      <c r="B1" s="94"/>
      <c r="C1" s="94"/>
      <c r="D1" s="94"/>
    </row>
    <row r="2" spans="1:4" ht="15.75" x14ac:dyDescent="0.2">
      <c r="A2" s="8" t="s">
        <v>828</v>
      </c>
      <c r="B2" s="8" t="s">
        <v>829</v>
      </c>
      <c r="C2" s="8" t="s">
        <v>830</v>
      </c>
      <c r="D2" s="8" t="s">
        <v>42</v>
      </c>
    </row>
    <row r="3" spans="1:4" ht="46.15" customHeight="1" x14ac:dyDescent="0.2">
      <c r="A3" s="38" t="s">
        <v>25</v>
      </c>
      <c r="B3" s="38" t="s">
        <v>813</v>
      </c>
      <c r="C3" s="38">
        <v>10</v>
      </c>
      <c r="D3" s="41" t="s">
        <v>831</v>
      </c>
    </row>
    <row r="4" spans="1:4" ht="36.6" customHeight="1" x14ac:dyDescent="0.2">
      <c r="A4" s="38" t="s">
        <v>24</v>
      </c>
      <c r="B4" s="38" t="s">
        <v>832</v>
      </c>
      <c r="C4" s="38">
        <v>8</v>
      </c>
      <c r="D4" s="41" t="s">
        <v>833</v>
      </c>
    </row>
    <row r="5" spans="1:4" ht="40.15" customHeight="1" x14ac:dyDescent="0.2">
      <c r="A5" s="38" t="s">
        <v>26</v>
      </c>
      <c r="B5" s="38" t="s">
        <v>834</v>
      </c>
      <c r="C5" s="38">
        <v>5</v>
      </c>
      <c r="D5" s="41" t="s">
        <v>835</v>
      </c>
    </row>
    <row r="6" spans="1:4" ht="42" customHeight="1" x14ac:dyDescent="0.2">
      <c r="A6" s="38" t="s">
        <v>22</v>
      </c>
      <c r="B6" s="55" t="s">
        <v>936</v>
      </c>
      <c r="C6" s="38">
        <v>2</v>
      </c>
      <c r="D6" s="41" t="s">
        <v>836</v>
      </c>
    </row>
    <row r="7" spans="1:4" ht="45" customHeight="1" x14ac:dyDescent="0.2">
      <c r="A7" s="38" t="s">
        <v>38</v>
      </c>
      <c r="B7" s="38" t="s">
        <v>837</v>
      </c>
      <c r="C7" s="38">
        <v>0</v>
      </c>
      <c r="D7" s="41" t="s">
        <v>838</v>
      </c>
    </row>
    <row r="8" spans="1:4" ht="14.25" customHeight="1" x14ac:dyDescent="0.2"/>
    <row r="11" spans="1:4" ht="15.75" x14ac:dyDescent="0.2">
      <c r="A11" s="94" t="s">
        <v>839</v>
      </c>
      <c r="B11" s="94"/>
      <c r="C11" s="94"/>
    </row>
    <row r="12" spans="1:4" ht="15.75" x14ac:dyDescent="0.2">
      <c r="A12" s="8" t="s">
        <v>424</v>
      </c>
      <c r="B12" s="8" t="s">
        <v>840</v>
      </c>
      <c r="C12" s="8" t="s">
        <v>841</v>
      </c>
    </row>
    <row r="13" spans="1:4" x14ac:dyDescent="0.2">
      <c r="A13" s="23" t="s">
        <v>762</v>
      </c>
      <c r="B13" s="23" t="s">
        <v>842</v>
      </c>
      <c r="C13" s="23" t="s">
        <v>843</v>
      </c>
    </row>
    <row r="14" spans="1:4" x14ac:dyDescent="0.2">
      <c r="A14" s="52">
        <v>1</v>
      </c>
      <c r="B14" s="23" t="s">
        <v>844</v>
      </c>
      <c r="C14" s="23" t="s">
        <v>24</v>
      </c>
    </row>
    <row r="15" spans="1:4" x14ac:dyDescent="0.2">
      <c r="A15" s="52">
        <v>2</v>
      </c>
      <c r="B15" s="23" t="s">
        <v>845</v>
      </c>
      <c r="C15" s="23" t="s">
        <v>26</v>
      </c>
    </row>
    <row r="16" spans="1:4" x14ac:dyDescent="0.2">
      <c r="A16" s="52">
        <v>3</v>
      </c>
      <c r="B16" s="23" t="s">
        <v>846</v>
      </c>
      <c r="C16" s="23" t="s">
        <v>26</v>
      </c>
    </row>
    <row r="17" spans="1:3" x14ac:dyDescent="0.2">
      <c r="A17" s="52">
        <v>4</v>
      </c>
      <c r="B17" s="23" t="s">
        <v>847</v>
      </c>
      <c r="C17" s="23" t="s">
        <v>22</v>
      </c>
    </row>
    <row r="18" spans="1:3" x14ac:dyDescent="0.2">
      <c r="A18" s="52">
        <v>5</v>
      </c>
      <c r="B18" s="23" t="s">
        <v>848</v>
      </c>
      <c r="C18" s="23" t="s">
        <v>24</v>
      </c>
    </row>
    <row r="19" spans="1:3" x14ac:dyDescent="0.2">
      <c r="A19" s="52">
        <v>6</v>
      </c>
      <c r="B19" s="23" t="s">
        <v>849</v>
      </c>
      <c r="C19" s="23" t="s">
        <v>26</v>
      </c>
    </row>
    <row r="20" spans="1:3" x14ac:dyDescent="0.2">
      <c r="A20" s="52">
        <v>7</v>
      </c>
      <c r="B20" s="23" t="s">
        <v>850</v>
      </c>
      <c r="C20" s="23" t="s">
        <v>24</v>
      </c>
    </row>
    <row r="21" spans="1:3" x14ac:dyDescent="0.2">
      <c r="A21" s="52">
        <v>8</v>
      </c>
      <c r="B21" s="23" t="s">
        <v>851</v>
      </c>
      <c r="C21" s="23" t="s">
        <v>26</v>
      </c>
    </row>
    <row r="22" spans="1:3" x14ac:dyDescent="0.2">
      <c r="A22" s="52">
        <v>9</v>
      </c>
      <c r="B22" s="23" t="s">
        <v>852</v>
      </c>
      <c r="C22" s="23" t="s">
        <v>24</v>
      </c>
    </row>
    <row r="23" spans="1:3" x14ac:dyDescent="0.2">
      <c r="A23" s="52">
        <v>10</v>
      </c>
      <c r="B23" s="23" t="s">
        <v>853</v>
      </c>
      <c r="C23" s="23" t="s">
        <v>26</v>
      </c>
    </row>
    <row r="24" spans="1:3" x14ac:dyDescent="0.2">
      <c r="A24" s="52">
        <v>11</v>
      </c>
      <c r="B24" s="23" t="s">
        <v>854</v>
      </c>
      <c r="C24" s="23" t="s">
        <v>26</v>
      </c>
    </row>
    <row r="25" spans="1:3" x14ac:dyDescent="0.2">
      <c r="A25" s="52">
        <v>12</v>
      </c>
      <c r="B25" s="23" t="s">
        <v>855</v>
      </c>
      <c r="C25" s="23" t="s">
        <v>22</v>
      </c>
    </row>
    <row r="26" spans="1:3" x14ac:dyDescent="0.2">
      <c r="A26" s="52">
        <v>13</v>
      </c>
      <c r="B26" s="23" t="s">
        <v>856</v>
      </c>
      <c r="C26" s="23" t="s">
        <v>22</v>
      </c>
    </row>
    <row r="27" spans="1:3" x14ac:dyDescent="0.2">
      <c r="A27" s="52">
        <v>14</v>
      </c>
      <c r="B27" s="23" t="s">
        <v>857</v>
      </c>
      <c r="C27" s="23" t="s">
        <v>22</v>
      </c>
    </row>
    <row r="28" spans="1:3" x14ac:dyDescent="0.2">
      <c r="A28" s="52">
        <v>15</v>
      </c>
      <c r="B28" s="23" t="s">
        <v>858</v>
      </c>
      <c r="C28" s="23" t="s">
        <v>22</v>
      </c>
    </row>
    <row r="29" spans="1:3" x14ac:dyDescent="0.2">
      <c r="A29" s="52">
        <v>16</v>
      </c>
      <c r="B29" s="23" t="s">
        <v>859</v>
      </c>
      <c r="C29" s="23" t="s">
        <v>24</v>
      </c>
    </row>
    <row r="30" spans="1:3" x14ac:dyDescent="0.2">
      <c r="A30" s="52">
        <v>17</v>
      </c>
      <c r="B30" s="23" t="s">
        <v>860</v>
      </c>
      <c r="C30" s="23" t="s">
        <v>26</v>
      </c>
    </row>
    <row r="31" spans="1:3" x14ac:dyDescent="0.2">
      <c r="A31" s="52">
        <v>18</v>
      </c>
      <c r="B31" s="23" t="s">
        <v>861</v>
      </c>
      <c r="C31" s="23" t="s">
        <v>26</v>
      </c>
    </row>
    <row r="32" spans="1:3" x14ac:dyDescent="0.2">
      <c r="A32" s="52">
        <v>19</v>
      </c>
      <c r="B32" s="23" t="s">
        <v>862</v>
      </c>
      <c r="C32" s="23" t="s">
        <v>24</v>
      </c>
    </row>
    <row r="37" spans="1:4" ht="15.75" x14ac:dyDescent="0.2">
      <c r="A37" s="94" t="s">
        <v>863</v>
      </c>
      <c r="B37" s="94"/>
      <c r="C37" s="94"/>
      <c r="D37" s="94"/>
    </row>
    <row r="38" spans="1:4" ht="30" x14ac:dyDescent="0.2">
      <c r="A38" s="53" t="s">
        <v>828</v>
      </c>
      <c r="B38" s="54" t="s">
        <v>829</v>
      </c>
      <c r="C38" s="53" t="s">
        <v>824</v>
      </c>
      <c r="D38" s="53" t="s">
        <v>42</v>
      </c>
    </row>
    <row r="39" spans="1:4" ht="60" x14ac:dyDescent="0.2">
      <c r="A39" s="38" t="s">
        <v>25</v>
      </c>
      <c r="B39" s="38" t="s">
        <v>813</v>
      </c>
      <c r="C39" s="38">
        <v>10</v>
      </c>
      <c r="D39" s="30" t="s">
        <v>864</v>
      </c>
    </row>
    <row r="40" spans="1:4" s="25" customFormat="1" ht="111.75" customHeight="1" x14ac:dyDescent="0.2">
      <c r="A40" s="39" t="s">
        <v>24</v>
      </c>
      <c r="B40" s="39" t="s">
        <v>832</v>
      </c>
      <c r="C40" s="39">
        <v>8</v>
      </c>
      <c r="D40" s="30" t="s">
        <v>944</v>
      </c>
    </row>
    <row r="41" spans="1:4" ht="75" x14ac:dyDescent="0.2">
      <c r="A41" s="38" t="s">
        <v>26</v>
      </c>
      <c r="B41" s="38" t="s">
        <v>834</v>
      </c>
      <c r="C41" s="38">
        <v>5</v>
      </c>
      <c r="D41" s="30" t="s">
        <v>865</v>
      </c>
    </row>
    <row r="42" spans="1:4" ht="45" x14ac:dyDescent="0.2">
      <c r="A42" s="38" t="s">
        <v>22</v>
      </c>
      <c r="B42" s="55">
        <v>45797</v>
      </c>
      <c r="C42" s="38">
        <v>2</v>
      </c>
      <c r="D42" s="30" t="s">
        <v>866</v>
      </c>
    </row>
    <row r="43" spans="1:4" ht="30" x14ac:dyDescent="0.2">
      <c r="A43" s="38" t="s">
        <v>38</v>
      </c>
      <c r="B43" s="38" t="s">
        <v>837</v>
      </c>
      <c r="C43" s="38">
        <v>0</v>
      </c>
      <c r="D43" s="30" t="s">
        <v>867</v>
      </c>
    </row>
  </sheetData>
  <mergeCells count="3">
    <mergeCell ref="A1:D1"/>
    <mergeCell ref="A11:C11"/>
    <mergeCell ref="A37:D37"/>
  </mergeCells>
  <dataValidations count="1">
    <dataValidation type="list" allowBlank="1" showInputMessage="1" showErrorMessage="1" sqref="C14:C32" xr:uid="{D1C625E6-78CA-45ED-8303-B11AD9162842}">
      <formula1>$A$3:$A$7</formula1>
    </dataValidation>
  </dataValidations>
  <pageMargins left="0.7" right="0.7" top="0.75" bottom="0.75" header="0.3" footer="0.3"/>
  <pageSetup orientation="portrait"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E29B-EE5F-4609-A32C-C474E009B1CA}">
  <dimension ref="A1:D31"/>
  <sheetViews>
    <sheetView zoomScale="108" workbookViewId="0">
      <selection activeCell="G22" sqref="G22"/>
    </sheetView>
  </sheetViews>
  <sheetFormatPr defaultColWidth="8.85546875" defaultRowHeight="15" x14ac:dyDescent="0.2"/>
  <cols>
    <col min="1" max="1" width="24.140625" style="23" customWidth="1"/>
    <col min="2" max="2" width="35.5703125" style="23" customWidth="1"/>
    <col min="3" max="3" width="10.7109375" style="23" customWidth="1"/>
    <col min="4" max="4" width="56.140625" style="23" customWidth="1"/>
    <col min="5" max="16384" width="8.85546875" style="23"/>
  </cols>
  <sheetData>
    <row r="1" spans="1:4" x14ac:dyDescent="0.2">
      <c r="A1" s="100" t="s">
        <v>868</v>
      </c>
      <c r="B1" s="100"/>
      <c r="C1" s="100"/>
      <c r="D1" s="100"/>
    </row>
    <row r="2" spans="1:4" x14ac:dyDescent="0.2">
      <c r="A2" s="100"/>
      <c r="B2" s="100"/>
      <c r="C2" s="100"/>
      <c r="D2" s="100"/>
    </row>
    <row r="3" spans="1:4" ht="15.75" x14ac:dyDescent="0.25">
      <c r="A3" s="8" t="s">
        <v>797</v>
      </c>
      <c r="B3" s="56" t="s">
        <v>823</v>
      </c>
      <c r="C3" s="56" t="s">
        <v>824</v>
      </c>
      <c r="D3" s="35" t="s">
        <v>42</v>
      </c>
    </row>
    <row r="4" spans="1:4" ht="15.75" x14ac:dyDescent="0.2">
      <c r="A4" s="24" t="s">
        <v>25</v>
      </c>
      <c r="B4" s="24" t="s">
        <v>800</v>
      </c>
      <c r="C4" s="38">
        <v>10</v>
      </c>
      <c r="D4" s="57" t="s">
        <v>869</v>
      </c>
    </row>
    <row r="5" spans="1:4" ht="32.25" customHeight="1" x14ac:dyDescent="0.2">
      <c r="A5" s="24" t="s">
        <v>24</v>
      </c>
      <c r="B5" s="24" t="s">
        <v>802</v>
      </c>
      <c r="C5" s="38">
        <v>8</v>
      </c>
      <c r="D5" s="57" t="s">
        <v>870</v>
      </c>
    </row>
    <row r="6" spans="1:4" ht="33" customHeight="1" x14ac:dyDescent="0.2">
      <c r="A6" s="24" t="s">
        <v>26</v>
      </c>
      <c r="B6" s="24" t="s">
        <v>804</v>
      </c>
      <c r="C6" s="38">
        <v>5</v>
      </c>
      <c r="D6" s="57" t="s">
        <v>871</v>
      </c>
    </row>
    <row r="7" spans="1:4" ht="24" customHeight="1" x14ac:dyDescent="0.2">
      <c r="A7" s="24" t="s">
        <v>22</v>
      </c>
      <c r="B7" s="24" t="s">
        <v>806</v>
      </c>
      <c r="C7" s="38">
        <v>2</v>
      </c>
      <c r="D7" s="57" t="s">
        <v>872</v>
      </c>
    </row>
    <row r="8" spans="1:4" ht="27" customHeight="1" x14ac:dyDescent="0.2">
      <c r="A8" s="24" t="s">
        <v>38</v>
      </c>
      <c r="B8" s="24" t="s">
        <v>807</v>
      </c>
      <c r="C8" s="38">
        <v>0</v>
      </c>
      <c r="D8" s="57" t="s">
        <v>873</v>
      </c>
    </row>
    <row r="11" spans="1:4" x14ac:dyDescent="0.2">
      <c r="A11" s="100" t="s">
        <v>874</v>
      </c>
      <c r="B11" s="100"/>
      <c r="C11" s="100"/>
      <c r="D11" s="100"/>
    </row>
    <row r="12" spans="1:4" x14ac:dyDescent="0.2">
      <c r="A12" s="100"/>
      <c r="B12" s="100"/>
      <c r="C12" s="100"/>
      <c r="D12" s="100"/>
    </row>
    <row r="13" spans="1:4" ht="15.75" x14ac:dyDescent="0.25">
      <c r="A13" s="8" t="s">
        <v>797</v>
      </c>
      <c r="B13" s="56" t="s">
        <v>823</v>
      </c>
      <c r="C13" s="56" t="s">
        <v>824</v>
      </c>
      <c r="D13" s="35" t="s">
        <v>42</v>
      </c>
    </row>
    <row r="14" spans="1:4" ht="30" x14ac:dyDescent="0.2">
      <c r="A14" s="38" t="s">
        <v>25</v>
      </c>
      <c r="B14" s="24" t="s">
        <v>800</v>
      </c>
      <c r="C14" s="38">
        <v>10</v>
      </c>
      <c r="D14" s="57" t="s">
        <v>875</v>
      </c>
    </row>
    <row r="15" spans="1:4" ht="30" x14ac:dyDescent="0.2">
      <c r="A15" s="38" t="s">
        <v>24</v>
      </c>
      <c r="B15" s="24" t="s">
        <v>802</v>
      </c>
      <c r="C15" s="38">
        <v>8</v>
      </c>
      <c r="D15" s="57" t="s">
        <v>876</v>
      </c>
    </row>
    <row r="16" spans="1:4" ht="30" x14ac:dyDescent="0.2">
      <c r="A16" s="38" t="s">
        <v>26</v>
      </c>
      <c r="B16" s="24" t="s">
        <v>804</v>
      </c>
      <c r="C16" s="38">
        <v>5</v>
      </c>
      <c r="D16" s="57" t="s">
        <v>877</v>
      </c>
    </row>
    <row r="17" spans="1:4" ht="51.75" customHeight="1" x14ac:dyDescent="0.2">
      <c r="A17" s="38" t="s">
        <v>22</v>
      </c>
      <c r="B17" s="24" t="s">
        <v>806</v>
      </c>
      <c r="C17" s="38">
        <v>2</v>
      </c>
      <c r="D17" s="57" t="s">
        <v>878</v>
      </c>
    </row>
    <row r="18" spans="1:4" ht="30" x14ac:dyDescent="0.2">
      <c r="A18" s="38" t="s">
        <v>38</v>
      </c>
      <c r="B18" s="24" t="s">
        <v>807</v>
      </c>
      <c r="C18" s="38">
        <v>0</v>
      </c>
      <c r="D18" s="57" t="s">
        <v>879</v>
      </c>
    </row>
    <row r="21" spans="1:4" x14ac:dyDescent="0.2">
      <c r="A21" s="93" t="s">
        <v>880</v>
      </c>
      <c r="B21" s="93"/>
      <c r="C21" s="93"/>
      <c r="D21" s="93"/>
    </row>
    <row r="22" spans="1:4" x14ac:dyDescent="0.2">
      <c r="A22" s="93"/>
      <c r="B22" s="93"/>
      <c r="C22" s="93"/>
      <c r="D22" s="93"/>
    </row>
    <row r="23" spans="1:4" ht="15.75" x14ac:dyDescent="0.25">
      <c r="A23" s="8" t="s">
        <v>797</v>
      </c>
      <c r="B23" s="56" t="s">
        <v>823</v>
      </c>
      <c r="C23" s="56" t="s">
        <v>824</v>
      </c>
      <c r="D23" s="35" t="s">
        <v>42</v>
      </c>
    </row>
    <row r="24" spans="1:4" ht="33.75" customHeight="1" x14ac:dyDescent="0.2">
      <c r="A24" s="38" t="s">
        <v>25</v>
      </c>
      <c r="B24" s="38" t="s">
        <v>800</v>
      </c>
      <c r="C24" s="38">
        <v>10</v>
      </c>
      <c r="D24" s="57" t="s">
        <v>881</v>
      </c>
    </row>
    <row r="25" spans="1:4" ht="36" customHeight="1" x14ac:dyDescent="0.2">
      <c r="A25" s="38" t="s">
        <v>24</v>
      </c>
      <c r="B25" s="38" t="s">
        <v>802</v>
      </c>
      <c r="C25" s="38">
        <v>8</v>
      </c>
      <c r="D25" s="57" t="s">
        <v>882</v>
      </c>
    </row>
    <row r="26" spans="1:4" ht="35.25" customHeight="1" x14ac:dyDescent="0.2">
      <c r="A26" s="38" t="s">
        <v>26</v>
      </c>
      <c r="B26" s="38" t="s">
        <v>804</v>
      </c>
      <c r="C26" s="38">
        <v>5</v>
      </c>
      <c r="D26" s="57" t="s">
        <v>883</v>
      </c>
    </row>
    <row r="27" spans="1:4" ht="36" customHeight="1" x14ac:dyDescent="0.2">
      <c r="A27" s="38" t="s">
        <v>22</v>
      </c>
      <c r="B27" s="38" t="s">
        <v>806</v>
      </c>
      <c r="C27" s="38">
        <v>2</v>
      </c>
      <c r="D27" s="57" t="s">
        <v>884</v>
      </c>
    </row>
    <row r="28" spans="1:4" ht="35.25" customHeight="1" x14ac:dyDescent="0.2">
      <c r="A28" s="38" t="s">
        <v>38</v>
      </c>
      <c r="B28" s="38" t="s">
        <v>807</v>
      </c>
      <c r="C28" s="38">
        <v>0</v>
      </c>
      <c r="D28" s="57" t="s">
        <v>885</v>
      </c>
    </row>
    <row r="29" spans="1:4" ht="15.75" x14ac:dyDescent="0.25">
      <c r="A29" s="58"/>
      <c r="B29" s="58"/>
    </row>
    <row r="30" spans="1:4" ht="15.75" x14ac:dyDescent="0.25">
      <c r="A30" s="58"/>
      <c r="B30" s="58"/>
    </row>
    <row r="31" spans="1:4" ht="15.75" x14ac:dyDescent="0.25">
      <c r="A31" s="58"/>
      <c r="B31" s="58"/>
    </row>
  </sheetData>
  <mergeCells count="3">
    <mergeCell ref="A1:D2"/>
    <mergeCell ref="A11:D12"/>
    <mergeCell ref="A21:D22"/>
  </mergeCells>
  <pageMargins left="0.7" right="0.7" top="0.75" bottom="0.75" header="0.3" footer="0.3"/>
  <pageSetup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FAD8-7D01-4DE2-9359-E16E4645FC9F}">
  <dimension ref="A1:D46"/>
  <sheetViews>
    <sheetView zoomScale="85" zoomScaleNormal="85" workbookViewId="0">
      <selection activeCell="D7" sqref="D7"/>
    </sheetView>
  </sheetViews>
  <sheetFormatPr defaultColWidth="8.85546875" defaultRowHeight="15" x14ac:dyDescent="0.25"/>
  <cols>
    <col min="1" max="1" width="66" style="26" customWidth="1"/>
    <col min="2" max="2" width="114.5703125" style="26" customWidth="1"/>
    <col min="3" max="3" width="43" style="26" customWidth="1"/>
    <col min="4" max="4" width="69" style="26" customWidth="1"/>
    <col min="5" max="16384" width="8.85546875" style="26"/>
  </cols>
  <sheetData>
    <row r="1" spans="1:4" ht="15.75" x14ac:dyDescent="0.25">
      <c r="A1" s="101" t="s">
        <v>886</v>
      </c>
      <c r="B1" s="101"/>
      <c r="C1" s="101"/>
      <c r="D1" s="101"/>
    </row>
    <row r="2" spans="1:4" ht="15.75" x14ac:dyDescent="0.25">
      <c r="A2" s="59" t="s">
        <v>828</v>
      </c>
      <c r="B2" s="59" t="s">
        <v>887</v>
      </c>
      <c r="C2" s="59" t="s">
        <v>830</v>
      </c>
      <c r="D2" s="59" t="s">
        <v>42</v>
      </c>
    </row>
    <row r="3" spans="1:4" ht="65.25" customHeight="1" x14ac:dyDescent="0.25">
      <c r="A3" s="28" t="s">
        <v>25</v>
      </c>
      <c r="B3" s="28" t="s">
        <v>813</v>
      </c>
      <c r="C3" s="40">
        <v>10</v>
      </c>
      <c r="D3" s="27" t="s">
        <v>888</v>
      </c>
    </row>
    <row r="4" spans="1:4" ht="167.25" customHeight="1" x14ac:dyDescent="0.25">
      <c r="A4" s="28" t="s">
        <v>24</v>
      </c>
      <c r="B4" s="28" t="s">
        <v>834</v>
      </c>
      <c r="C4" s="40">
        <v>8</v>
      </c>
      <c r="D4" s="27" t="s">
        <v>889</v>
      </c>
    </row>
    <row r="5" spans="1:4" ht="178.5" customHeight="1" x14ac:dyDescent="0.25">
      <c r="A5" s="28" t="s">
        <v>26</v>
      </c>
      <c r="B5" s="28" t="s">
        <v>890</v>
      </c>
      <c r="C5" s="40">
        <v>5</v>
      </c>
      <c r="D5" s="27" t="s">
        <v>891</v>
      </c>
    </row>
    <row r="6" spans="1:4" ht="211.5" customHeight="1" x14ac:dyDescent="0.25">
      <c r="A6" s="28" t="s">
        <v>22</v>
      </c>
      <c r="B6" s="28" t="s">
        <v>892</v>
      </c>
      <c r="C6" s="40">
        <v>2</v>
      </c>
      <c r="D6" s="27" t="s">
        <v>893</v>
      </c>
    </row>
    <row r="7" spans="1:4" ht="69" customHeight="1" x14ac:dyDescent="0.25">
      <c r="A7" s="28" t="s">
        <v>38</v>
      </c>
      <c r="B7" s="28" t="s">
        <v>837</v>
      </c>
      <c r="C7" s="40">
        <v>0</v>
      </c>
      <c r="D7" s="27" t="s">
        <v>894</v>
      </c>
    </row>
    <row r="12" spans="1:4" ht="15.75" x14ac:dyDescent="0.25">
      <c r="A12" s="101" t="s">
        <v>895</v>
      </c>
      <c r="B12" s="101"/>
      <c r="C12" s="101"/>
    </row>
    <row r="13" spans="1:4" ht="31.5" x14ac:dyDescent="0.25">
      <c r="A13" s="60" t="s">
        <v>896</v>
      </c>
      <c r="B13" s="60" t="s">
        <v>935</v>
      </c>
      <c r="C13" s="60" t="s">
        <v>897</v>
      </c>
    </row>
    <row r="14" spans="1:4" x14ac:dyDescent="0.25">
      <c r="A14" s="28" t="s">
        <v>898</v>
      </c>
      <c r="B14" s="29" t="s">
        <v>898</v>
      </c>
      <c r="C14" s="28" t="s">
        <v>899</v>
      </c>
    </row>
    <row r="15" spans="1:4" x14ac:dyDescent="0.25">
      <c r="A15" s="28" t="s">
        <v>900</v>
      </c>
      <c r="B15" s="30" t="s">
        <v>901</v>
      </c>
      <c r="C15" s="28" t="s">
        <v>24</v>
      </c>
    </row>
    <row r="16" spans="1:4" x14ac:dyDescent="0.25">
      <c r="A16" s="28" t="s">
        <v>900</v>
      </c>
      <c r="B16" s="30" t="s">
        <v>902</v>
      </c>
      <c r="C16" s="28" t="s">
        <v>24</v>
      </c>
    </row>
    <row r="17" spans="1:3" x14ac:dyDescent="0.25">
      <c r="A17" s="28" t="s">
        <v>900</v>
      </c>
      <c r="B17" s="30" t="s">
        <v>903</v>
      </c>
      <c r="C17" s="28" t="s">
        <v>24</v>
      </c>
    </row>
    <row r="18" spans="1:3" x14ac:dyDescent="0.25">
      <c r="A18" s="28" t="s">
        <v>900</v>
      </c>
      <c r="B18" s="30" t="s">
        <v>904</v>
      </c>
      <c r="C18" s="28" t="s">
        <v>24</v>
      </c>
    </row>
    <row r="19" spans="1:3" ht="30" x14ac:dyDescent="0.25">
      <c r="A19" s="28" t="s">
        <v>900</v>
      </c>
      <c r="B19" s="30" t="s">
        <v>905</v>
      </c>
      <c r="C19" s="28" t="s">
        <v>24</v>
      </c>
    </row>
    <row r="20" spans="1:3" ht="30" x14ac:dyDescent="0.25">
      <c r="A20" s="28" t="s">
        <v>900</v>
      </c>
      <c r="B20" s="30" t="s">
        <v>906</v>
      </c>
      <c r="C20" s="28" t="s">
        <v>26</v>
      </c>
    </row>
    <row r="21" spans="1:3" x14ac:dyDescent="0.25">
      <c r="A21" s="28" t="s">
        <v>900</v>
      </c>
      <c r="B21" s="30" t="s">
        <v>907</v>
      </c>
      <c r="C21" s="28" t="s">
        <v>24</v>
      </c>
    </row>
    <row r="22" spans="1:3" x14ac:dyDescent="0.25">
      <c r="A22" s="28" t="s">
        <v>900</v>
      </c>
      <c r="B22" s="30" t="s">
        <v>908</v>
      </c>
      <c r="C22" s="28" t="s">
        <v>26</v>
      </c>
    </row>
    <row r="23" spans="1:3" x14ac:dyDescent="0.25">
      <c r="A23" s="28" t="s">
        <v>900</v>
      </c>
      <c r="B23" s="30" t="s">
        <v>909</v>
      </c>
      <c r="C23" s="28" t="s">
        <v>24</v>
      </c>
    </row>
    <row r="24" spans="1:3" x14ac:dyDescent="0.25">
      <c r="A24" s="28" t="s">
        <v>900</v>
      </c>
      <c r="B24" s="30" t="s">
        <v>910</v>
      </c>
      <c r="C24" s="28" t="s">
        <v>26</v>
      </c>
    </row>
    <row r="25" spans="1:3" x14ac:dyDescent="0.25">
      <c r="A25" s="28" t="s">
        <v>900</v>
      </c>
      <c r="B25" s="30" t="s">
        <v>911</v>
      </c>
      <c r="C25" s="28" t="s">
        <v>22</v>
      </c>
    </row>
    <row r="26" spans="1:3" x14ac:dyDescent="0.25">
      <c r="A26" s="28" t="s">
        <v>912</v>
      </c>
      <c r="B26" s="30" t="s">
        <v>913</v>
      </c>
      <c r="C26" s="28" t="s">
        <v>26</v>
      </c>
    </row>
    <row r="27" spans="1:3" x14ac:dyDescent="0.25">
      <c r="A27" s="28" t="s">
        <v>912</v>
      </c>
      <c r="B27" s="30" t="s">
        <v>914</v>
      </c>
      <c r="C27" s="28" t="s">
        <v>25</v>
      </c>
    </row>
    <row r="28" spans="1:3" x14ac:dyDescent="0.25">
      <c r="A28" s="28" t="s">
        <v>912</v>
      </c>
      <c r="B28" s="30" t="s">
        <v>915</v>
      </c>
      <c r="C28" s="28" t="s">
        <v>25</v>
      </c>
    </row>
    <row r="29" spans="1:3" x14ac:dyDescent="0.25">
      <c r="A29" s="28" t="s">
        <v>912</v>
      </c>
      <c r="B29" s="30" t="s">
        <v>916</v>
      </c>
      <c r="C29" s="28" t="s">
        <v>26</v>
      </c>
    </row>
    <row r="30" spans="1:3" x14ac:dyDescent="0.25">
      <c r="A30" s="28" t="s">
        <v>912</v>
      </c>
      <c r="B30" s="30" t="s">
        <v>917</v>
      </c>
      <c r="C30" s="28" t="s">
        <v>25</v>
      </c>
    </row>
    <row r="31" spans="1:3" x14ac:dyDescent="0.25">
      <c r="A31" s="28" t="s">
        <v>912</v>
      </c>
      <c r="B31" s="30" t="s">
        <v>918</v>
      </c>
      <c r="C31" s="28" t="s">
        <v>24</v>
      </c>
    </row>
    <row r="32" spans="1:3" x14ac:dyDescent="0.25">
      <c r="A32" s="28" t="s">
        <v>919</v>
      </c>
      <c r="B32" s="30" t="s">
        <v>920</v>
      </c>
      <c r="C32" s="28" t="s">
        <v>25</v>
      </c>
    </row>
    <row r="33" spans="1:3" x14ac:dyDescent="0.25">
      <c r="A33" s="28" t="s">
        <v>919</v>
      </c>
      <c r="B33" s="30" t="s">
        <v>921</v>
      </c>
      <c r="C33" s="28" t="s">
        <v>24</v>
      </c>
    </row>
    <row r="34" spans="1:3" x14ac:dyDescent="0.25">
      <c r="A34" s="28" t="s">
        <v>919</v>
      </c>
      <c r="B34" s="30" t="s">
        <v>922</v>
      </c>
      <c r="C34" s="28" t="s">
        <v>24</v>
      </c>
    </row>
    <row r="35" spans="1:3" x14ac:dyDescent="0.25">
      <c r="A35" s="28" t="s">
        <v>919</v>
      </c>
      <c r="B35" s="30" t="s">
        <v>923</v>
      </c>
      <c r="C35" s="28" t="s">
        <v>25</v>
      </c>
    </row>
    <row r="36" spans="1:3" x14ac:dyDescent="0.25">
      <c r="A36" s="28" t="s">
        <v>919</v>
      </c>
      <c r="B36" s="30" t="s">
        <v>924</v>
      </c>
      <c r="C36" s="28" t="s">
        <v>22</v>
      </c>
    </row>
    <row r="37" spans="1:3" x14ac:dyDescent="0.25">
      <c r="A37" s="28" t="s">
        <v>925</v>
      </c>
      <c r="B37" s="30" t="s">
        <v>907</v>
      </c>
      <c r="C37" s="28" t="s">
        <v>24</v>
      </c>
    </row>
    <row r="38" spans="1:3" x14ac:dyDescent="0.25">
      <c r="A38" s="28" t="s">
        <v>925</v>
      </c>
      <c r="B38" s="30" t="s">
        <v>908</v>
      </c>
      <c r="C38" s="28" t="s">
        <v>26</v>
      </c>
    </row>
    <row r="39" spans="1:3" x14ac:dyDescent="0.25">
      <c r="A39" s="28" t="s">
        <v>925</v>
      </c>
      <c r="B39" s="30" t="s">
        <v>909</v>
      </c>
      <c r="C39" s="28" t="s">
        <v>24</v>
      </c>
    </row>
    <row r="40" spans="1:3" x14ac:dyDescent="0.25">
      <c r="A40" s="28" t="s">
        <v>925</v>
      </c>
      <c r="B40" s="30" t="s">
        <v>926</v>
      </c>
      <c r="C40" s="28" t="s">
        <v>24</v>
      </c>
    </row>
    <row r="41" spans="1:3" x14ac:dyDescent="0.25">
      <c r="A41" s="28" t="s">
        <v>925</v>
      </c>
      <c r="B41" s="30" t="s">
        <v>927</v>
      </c>
      <c r="C41" s="28" t="s">
        <v>22</v>
      </c>
    </row>
    <row r="42" spans="1:3" x14ac:dyDescent="0.25">
      <c r="A42" s="28" t="s">
        <v>928</v>
      </c>
      <c r="B42" s="30" t="s">
        <v>929</v>
      </c>
      <c r="C42" s="28" t="s">
        <v>25</v>
      </c>
    </row>
    <row r="43" spans="1:3" x14ac:dyDescent="0.25">
      <c r="A43" s="28" t="s">
        <v>928</v>
      </c>
      <c r="B43" s="30" t="s">
        <v>930</v>
      </c>
      <c r="C43" s="28" t="s">
        <v>25</v>
      </c>
    </row>
    <row r="44" spans="1:3" x14ac:dyDescent="0.25">
      <c r="A44" s="28" t="s">
        <v>928</v>
      </c>
      <c r="B44" s="30" t="s">
        <v>931</v>
      </c>
      <c r="C44" s="28" t="s">
        <v>24</v>
      </c>
    </row>
    <row r="45" spans="1:3" x14ac:dyDescent="0.25">
      <c r="A45" s="28" t="s">
        <v>928</v>
      </c>
      <c r="B45" s="30" t="s">
        <v>932</v>
      </c>
      <c r="C45" s="28" t="s">
        <v>24</v>
      </c>
    </row>
    <row r="46" spans="1:3" x14ac:dyDescent="0.25">
      <c r="A46" s="28" t="s">
        <v>928</v>
      </c>
      <c r="B46" s="29" t="s">
        <v>933</v>
      </c>
      <c r="C46" s="28" t="s">
        <v>25</v>
      </c>
    </row>
  </sheetData>
  <mergeCells count="2">
    <mergeCell ref="A1:D1"/>
    <mergeCell ref="A12:C12"/>
  </mergeCells>
  <dataValidations count="1">
    <dataValidation type="list" allowBlank="1" showInputMessage="1" showErrorMessage="1" sqref="C15:C46" xr:uid="{2CAAE1B3-518D-4DD8-AC84-1771E77F9869}">
      <formula1>$A$3:$A$7</formula1>
    </dataValidation>
  </dataValidations>
  <pageMargins left="0.7" right="0.7" top="0.75" bottom="0.75" header="0.3" footer="0.3"/>
  <pageSetup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AF57B4-0B6F-4D23-AB05-1B78181371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TVRA</vt:lpstr>
      <vt:lpstr>Vulnerabilities Catalog</vt:lpstr>
      <vt:lpstr>Threat Source Catalog</vt:lpstr>
      <vt:lpstr>Security Controls Catalog</vt:lpstr>
      <vt:lpstr>Threat Events Catalog</vt:lpstr>
      <vt:lpstr>D78</vt:lpstr>
      <vt:lpstr>D3456</vt:lpstr>
      <vt:lpstr>Control Effectiveness Assessmen</vt:lpstr>
      <vt:lpstr>F256</vt:lpstr>
      <vt:lpstr>G234</vt:lpstr>
      <vt:lpstr>H34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ayaan hirsi</dc:creator>
  <cp:keywords/>
  <dc:description/>
  <cp:lastModifiedBy>Ayaan Hirsi</cp:lastModifiedBy>
  <cp:revision/>
  <dcterms:created xsi:type="dcterms:W3CDTF">2025-01-14T02:10:21Z</dcterms:created>
  <dcterms:modified xsi:type="dcterms:W3CDTF">2026-05-24T23:00:35Z</dcterms:modified>
  <cp:category/>
  <cp:contentStatus/>
</cp:coreProperties>
</file>